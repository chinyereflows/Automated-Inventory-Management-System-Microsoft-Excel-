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DUAGU FAVOUR\OneDrive\Desktop\PORTFOLIO PROJECTS\"/>
    </mc:Choice>
  </mc:AlternateContent>
  <xr:revisionPtr revIDLastSave="0" documentId="13_ncr:1_{C7CBADDE-8069-42E4-91F4-BF2DD6CB08E7}" xr6:coauthVersionLast="47" xr6:coauthVersionMax="47" xr10:uidLastSave="{00000000-0000-0000-0000-000000000000}"/>
  <bookViews>
    <workbookView xWindow="-120" yWindow="-120" windowWidth="20730" windowHeight="11310" activeTab="4" xr2:uid="{C2F9D3A8-15B2-40CF-A41B-677FCC11A77D}"/>
  </bookViews>
  <sheets>
    <sheet name="Product Master List" sheetId="1" r:id="rId1"/>
    <sheet name="Stock In " sheetId="2" r:id="rId2"/>
    <sheet name="Stock Out" sheetId="3" r:id="rId3"/>
    <sheet name="Inventory" sheetId="4" r:id="rId4"/>
    <sheet name="Order Report" sheetId="5" r:id="rId5"/>
  </sheets>
  <definedNames>
    <definedName name="ProductID">product_master_list[Product ID]</definedName>
    <definedName name="ProductList">product_master_list[Product Name]</definedName>
    <definedName name="Slicer_Supplier">#N/A</definedName>
  </definedNames>
  <calcPr calcId="18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3" l="1"/>
  <c r="F28" i="3"/>
  <c r="E27" i="2"/>
  <c r="G27" i="2"/>
  <c r="H27" i="2"/>
  <c r="I27" i="2"/>
  <c r="O4" i="4" a="1"/>
  <c r="O4" i="4"/>
  <c r="O18" i="4" a="1"/>
  <c r="O18" i="4"/>
  <c r="O16" i="4" a="1"/>
  <c r="O16" i="4"/>
  <c r="O19" i="4" a="1"/>
  <c r="O19" i="4"/>
  <c r="O5" i="4" a="1"/>
  <c r="O5" i="4"/>
  <c r="O20" i="4" a="1"/>
  <c r="O20" i="4"/>
  <c r="O6" i="4" a="1"/>
  <c r="O6" i="4"/>
  <c r="O21" i="4" a="1"/>
  <c r="O21" i="4"/>
  <c r="O22" i="4" a="1"/>
  <c r="O22" i="4"/>
  <c r="O23" i="4" a="1"/>
  <c r="O23" i="4"/>
  <c r="O7" i="4" a="1"/>
  <c r="O7" i="4"/>
  <c r="O8" i="4" a="1"/>
  <c r="O8" i="4"/>
  <c r="O9" i="4" a="1"/>
  <c r="O9" i="4"/>
  <c r="O24" i="4" a="1"/>
  <c r="O24" i="4"/>
  <c r="O10" i="4" a="1"/>
  <c r="O10" i="4"/>
  <c r="O11" i="4" a="1"/>
  <c r="O11" i="4"/>
  <c r="O25" i="4" a="1"/>
  <c r="O25" i="4"/>
  <c r="O26" i="4" a="1"/>
  <c r="O26" i="4"/>
  <c r="O12" i="4" a="1"/>
  <c r="O12" i="4"/>
  <c r="O13" i="4" a="1"/>
  <c r="O13" i="4"/>
  <c r="O14" i="4" a="1"/>
  <c r="O14" i="4"/>
  <c r="O15" i="4" a="1"/>
  <c r="O15" i="4"/>
  <c r="O17" i="4" a="1"/>
  <c r="O17" i="4"/>
  <c r="N4" i="4" a="1"/>
  <c r="N4" i="4"/>
  <c r="N18" i="4" a="1"/>
  <c r="N18" i="4"/>
  <c r="N16" i="4" a="1"/>
  <c r="N16" i="4"/>
  <c r="N19" i="4" a="1"/>
  <c r="N19" i="4"/>
  <c r="N5" i="4" a="1"/>
  <c r="N5" i="4"/>
  <c r="N20" i="4" a="1"/>
  <c r="N20" i="4"/>
  <c r="N6" i="4" a="1"/>
  <c r="N6" i="4"/>
  <c r="N21" i="4" a="1"/>
  <c r="N21" i="4"/>
  <c r="N22" i="4" a="1"/>
  <c r="N22" i="4"/>
  <c r="N23" i="4" a="1"/>
  <c r="N23" i="4"/>
  <c r="N7" i="4" a="1"/>
  <c r="N7" i="4"/>
  <c r="N8" i="4" a="1"/>
  <c r="N8" i="4"/>
  <c r="N9" i="4" a="1"/>
  <c r="N9" i="4"/>
  <c r="N24" i="4" a="1"/>
  <c r="N24" i="4"/>
  <c r="N10" i="4" a="1"/>
  <c r="N10" i="4"/>
  <c r="N11" i="4" a="1"/>
  <c r="N11" i="4"/>
  <c r="N25" i="4" a="1"/>
  <c r="N25" i="4"/>
  <c r="N26" i="4" a="1"/>
  <c r="N26" i="4"/>
  <c r="N12" i="4" a="1"/>
  <c r="N12" i="4"/>
  <c r="N13" i="4" a="1"/>
  <c r="N13" i="4"/>
  <c r="N14" i="4" a="1"/>
  <c r="N14" i="4"/>
  <c r="N15" i="4" a="1"/>
  <c r="N15" i="4"/>
  <c r="N17" i="4" a="1"/>
  <c r="N17" i="4"/>
  <c r="M4" i="4"/>
  <c r="M16" i="4"/>
  <c r="M19" i="4"/>
  <c r="M5" i="4"/>
  <c r="M20" i="4"/>
  <c r="M6" i="4"/>
  <c r="M21" i="4"/>
  <c r="M22" i="4"/>
  <c r="M23" i="4"/>
  <c r="M7" i="4"/>
  <c r="M8" i="4"/>
  <c r="M9" i="4"/>
  <c r="M24" i="4"/>
  <c r="M18" i="4"/>
  <c r="M10" i="4"/>
  <c r="M11" i="4"/>
  <c r="M25" i="4"/>
  <c r="M26" i="4"/>
  <c r="M12" i="4"/>
  <c r="M13" i="4"/>
  <c r="M14" i="4"/>
  <c r="M15" i="4"/>
  <c r="M17" i="4"/>
  <c r="E26" i="2"/>
  <c r="G26" i="2"/>
  <c r="H26" i="2"/>
  <c r="I26" i="2"/>
  <c r="C21" i="4"/>
  <c r="C22" i="4"/>
  <c r="C23" i="4"/>
  <c r="C7" i="4"/>
  <c r="C8" i="4"/>
  <c r="C9" i="4"/>
  <c r="C24" i="4"/>
  <c r="C18" i="4"/>
  <c r="C10" i="4"/>
  <c r="C11" i="4"/>
  <c r="C25" i="4"/>
  <c r="C26" i="4"/>
  <c r="C12" i="4"/>
  <c r="C13" i="4"/>
  <c r="C14" i="4"/>
  <c r="C15" i="4"/>
  <c r="C17" i="4"/>
  <c r="D21" i="4"/>
  <c r="D22" i="4"/>
  <c r="D23" i="4"/>
  <c r="D7" i="4"/>
  <c r="D8" i="4"/>
  <c r="D9" i="4"/>
  <c r="D24" i="4"/>
  <c r="D18" i="4"/>
  <c r="D10" i="4"/>
  <c r="D11" i="4"/>
  <c r="D25" i="4"/>
  <c r="D26" i="4"/>
  <c r="D12" i="4"/>
  <c r="D13" i="4"/>
  <c r="D14" i="4"/>
  <c r="D15" i="4"/>
  <c r="D17" i="4"/>
  <c r="E21" i="4"/>
  <c r="E22" i="4"/>
  <c r="E23" i="4"/>
  <c r="E7" i="4"/>
  <c r="E8" i="4"/>
  <c r="E9" i="4"/>
  <c r="E24" i="4"/>
  <c r="E18" i="4"/>
  <c r="E10" i="4"/>
  <c r="E11" i="4"/>
  <c r="E25" i="4"/>
  <c r="E26" i="4"/>
  <c r="E12" i="4"/>
  <c r="E13" i="4"/>
  <c r="E14" i="4"/>
  <c r="E15" i="4"/>
  <c r="E17" i="4"/>
  <c r="F21" i="4"/>
  <c r="F22" i="4"/>
  <c r="F23" i="4"/>
  <c r="F7" i="4"/>
  <c r="F8" i="4"/>
  <c r="F9" i="4"/>
  <c r="F24" i="4"/>
  <c r="F18" i="4"/>
  <c r="F10" i="4"/>
  <c r="F11" i="4"/>
  <c r="F25" i="4"/>
  <c r="F26" i="4"/>
  <c r="F12" i="4"/>
  <c r="F13" i="4"/>
  <c r="F14" i="4"/>
  <c r="F15" i="4"/>
  <c r="F17" i="4"/>
  <c r="G21" i="4"/>
  <c r="G22" i="4"/>
  <c r="G23" i="4"/>
  <c r="G7" i="4"/>
  <c r="G8" i="4"/>
  <c r="G9" i="4"/>
  <c r="G24" i="4"/>
  <c r="G18" i="4"/>
  <c r="G10" i="4"/>
  <c r="G11" i="4"/>
  <c r="G25" i="4"/>
  <c r="G26" i="4"/>
  <c r="G12" i="4"/>
  <c r="G13" i="4"/>
  <c r="G14" i="4"/>
  <c r="G15" i="4"/>
  <c r="G17" i="4"/>
  <c r="H21" i="4"/>
  <c r="H22" i="4"/>
  <c r="H23" i="4"/>
  <c r="H7" i="4"/>
  <c r="H8" i="4"/>
  <c r="H9" i="4"/>
  <c r="H24" i="4"/>
  <c r="H18" i="4"/>
  <c r="H10" i="4"/>
  <c r="H11" i="4"/>
  <c r="H25" i="4"/>
  <c r="H26" i="4"/>
  <c r="H12" i="4"/>
  <c r="H13" i="4"/>
  <c r="H14" i="4"/>
  <c r="H15" i="4"/>
  <c r="H17" i="4"/>
  <c r="I21" i="4"/>
  <c r="I22" i="4"/>
  <c r="I23" i="4"/>
  <c r="I7" i="4"/>
  <c r="I8" i="4"/>
  <c r="I9" i="4"/>
  <c r="I24" i="4"/>
  <c r="I18" i="4"/>
  <c r="I10" i="4"/>
  <c r="I11" i="4"/>
  <c r="I25" i="4"/>
  <c r="I26" i="4"/>
  <c r="I12" i="4"/>
  <c r="I13" i="4"/>
  <c r="I14" i="4"/>
  <c r="I15" i="4"/>
  <c r="I17" i="4"/>
  <c r="J21" i="4"/>
  <c r="J22" i="4"/>
  <c r="J23" i="4"/>
  <c r="J7" i="4"/>
  <c r="J8" i="4"/>
  <c r="J9" i="4"/>
  <c r="J24" i="4"/>
  <c r="J18" i="4"/>
  <c r="J10" i="4"/>
  <c r="J11" i="4"/>
  <c r="J25" i="4"/>
  <c r="J26" i="4"/>
  <c r="J12" i="4"/>
  <c r="J13" i="4"/>
  <c r="J14" i="4"/>
  <c r="J15" i="4"/>
  <c r="J17" i="4"/>
  <c r="K21" i="4"/>
  <c r="K22" i="4"/>
  <c r="K23" i="4"/>
  <c r="K7" i="4"/>
  <c r="K8" i="4"/>
  <c r="K9" i="4"/>
  <c r="K24" i="4"/>
  <c r="K18" i="4"/>
  <c r="K10" i="4"/>
  <c r="K11" i="4"/>
  <c r="K25" i="4"/>
  <c r="K26" i="4"/>
  <c r="K12" i="4"/>
  <c r="K13" i="4"/>
  <c r="K14" i="4"/>
  <c r="K15" i="4"/>
  <c r="K17" i="4"/>
  <c r="L21" i="4"/>
  <c r="L22" i="4"/>
  <c r="L23" i="4"/>
  <c r="L7" i="4"/>
  <c r="L8" i="4"/>
  <c r="L9" i="4"/>
  <c r="L24" i="4"/>
  <c r="L18" i="4"/>
  <c r="L10" i="4"/>
  <c r="L11" i="4"/>
  <c r="L25" i="4"/>
  <c r="L26" i="4"/>
  <c r="L12" i="4"/>
  <c r="L13" i="4"/>
  <c r="L14" i="4"/>
  <c r="L15" i="4"/>
  <c r="L17" i="4"/>
  <c r="C6" i="4"/>
  <c r="D6" i="4"/>
  <c r="E6" i="4"/>
  <c r="F6" i="4"/>
  <c r="G6" i="4"/>
  <c r="H6" i="4"/>
  <c r="I6" i="4"/>
  <c r="J6" i="4"/>
  <c r="K6" i="4"/>
  <c r="L6" i="4"/>
  <c r="E27" i="3"/>
  <c r="F27" i="3"/>
  <c r="G27" i="3"/>
  <c r="I27" i="3"/>
  <c r="C20" i="4"/>
  <c r="D20" i="4"/>
  <c r="E20" i="4"/>
  <c r="F20" i="4"/>
  <c r="G20" i="4"/>
  <c r="H20" i="4"/>
  <c r="I20" i="4"/>
  <c r="J20" i="4"/>
  <c r="K20" i="4"/>
  <c r="L20" i="4"/>
  <c r="C5" i="4"/>
  <c r="D5" i="4"/>
  <c r="E5" i="4"/>
  <c r="F5" i="4"/>
  <c r="G5" i="4"/>
  <c r="H5" i="4"/>
  <c r="I5" i="4"/>
  <c r="J5" i="4"/>
  <c r="K5" i="4"/>
  <c r="L5" i="4"/>
  <c r="C19" i="4"/>
  <c r="D19" i="4"/>
  <c r="E19" i="4"/>
  <c r="F19" i="4"/>
  <c r="G19" i="4"/>
  <c r="H19" i="4"/>
  <c r="I19" i="4"/>
  <c r="J19" i="4"/>
  <c r="K19" i="4"/>
  <c r="L19" i="4"/>
  <c r="C16" i="4"/>
  <c r="D16" i="4"/>
  <c r="E16" i="4"/>
  <c r="F16" i="4"/>
  <c r="G16" i="4"/>
  <c r="H16" i="4"/>
  <c r="I16" i="4"/>
  <c r="J16" i="4"/>
  <c r="K16" i="4"/>
  <c r="L16" i="4"/>
  <c r="K4" i="4"/>
  <c r="I4" i="4"/>
  <c r="G4" i="4"/>
  <c r="F4" i="4"/>
  <c r="E4" i="4"/>
  <c r="D4" i="4"/>
  <c r="C4" i="4"/>
  <c r="E26" i="3"/>
  <c r="F26" i="3"/>
  <c r="F4" i="3"/>
  <c r="F5" i="3"/>
  <c r="F6" i="3"/>
  <c r="F7" i="3"/>
  <c r="F8" i="3"/>
  <c r="F9" i="3"/>
  <c r="F10" i="3"/>
  <c r="F11" i="3"/>
  <c r="F12" i="3"/>
  <c r="F13" i="3"/>
  <c r="F14" i="3"/>
  <c r="F15" i="3"/>
  <c r="F16" i="3"/>
  <c r="F17" i="3"/>
  <c r="F18" i="3"/>
  <c r="F19" i="3"/>
  <c r="F20" i="3"/>
  <c r="F21" i="3"/>
  <c r="F22" i="3"/>
  <c r="F23" i="3"/>
  <c r="F24" i="3"/>
  <c r="F25" i="3"/>
  <c r="E4" i="3"/>
  <c r="E5" i="3"/>
  <c r="E6" i="3"/>
  <c r="E7" i="3"/>
  <c r="E8" i="3"/>
  <c r="E9" i="3"/>
  <c r="E10" i="3"/>
  <c r="E11" i="3"/>
  <c r="E12" i="3"/>
  <c r="E13" i="3"/>
  <c r="E14" i="3"/>
  <c r="E15" i="3"/>
  <c r="E16" i="3"/>
  <c r="E17" i="3"/>
  <c r="E18" i="3"/>
  <c r="E19" i="3"/>
  <c r="E20" i="3"/>
  <c r="E21" i="3"/>
  <c r="E22" i="3"/>
  <c r="E23" i="3"/>
  <c r="E24" i="3"/>
  <c r="E25" i="3"/>
  <c r="I4" i="2"/>
  <c r="I5" i="2"/>
  <c r="I6" i="2"/>
  <c r="I7" i="2"/>
  <c r="I8" i="2"/>
  <c r="I9" i="2"/>
  <c r="I10" i="2"/>
  <c r="I11" i="2"/>
  <c r="I12" i="2"/>
  <c r="I13" i="2"/>
  <c r="I14" i="2"/>
  <c r="I15" i="2"/>
  <c r="I16" i="2"/>
  <c r="I17" i="2"/>
  <c r="I18" i="2"/>
  <c r="I19" i="2"/>
  <c r="I20" i="2"/>
  <c r="I21" i="2"/>
  <c r="I22" i="2"/>
  <c r="I23" i="2"/>
  <c r="I24" i="2"/>
  <c r="I25" i="2"/>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E25" i="2"/>
  <c r="E4" i="2"/>
  <c r="E5" i="2"/>
  <c r="E6" i="2"/>
  <c r="E7" i="2"/>
  <c r="E8" i="2"/>
  <c r="E9" i="2"/>
  <c r="E10" i="2"/>
  <c r="E11" i="2"/>
  <c r="E12" i="2"/>
  <c r="E13" i="2"/>
  <c r="E14" i="2"/>
  <c r="E15" i="2"/>
  <c r="E16" i="2"/>
  <c r="E17" i="2"/>
  <c r="E18" i="2"/>
  <c r="E19" i="2"/>
  <c r="E20" i="2"/>
  <c r="E21" i="2"/>
  <c r="E22" i="2"/>
  <c r="E23" i="2"/>
  <c r="E24" i="2"/>
  <c r="G4" i="1"/>
  <c r="G5" i="1"/>
  <c r="G6" i="3" s="1"/>
  <c r="I6" i="3" s="1"/>
  <c r="G6" i="1"/>
  <c r="G4" i="3" s="1"/>
  <c r="I4" i="3" s="1"/>
  <c r="G7" i="1"/>
  <c r="G8" i="1"/>
  <c r="G9" i="1"/>
  <c r="G10" i="1"/>
  <c r="G11" i="1"/>
  <c r="G12" i="1"/>
  <c r="G13" i="1"/>
  <c r="G14" i="1"/>
  <c r="G15" i="1"/>
  <c r="G16" i="1"/>
  <c r="G17" i="1"/>
  <c r="G8" i="3" s="1"/>
  <c r="I8" i="3" s="1"/>
  <c r="G18" i="1"/>
  <c r="G19" i="1"/>
  <c r="G20" i="1"/>
  <c r="G21" i="1"/>
  <c r="G12" i="3" s="1"/>
  <c r="I12" i="3" s="1"/>
  <c r="G22" i="1"/>
  <c r="G23" i="1"/>
  <c r="G24" i="1"/>
  <c r="G25" i="1"/>
  <c r="G13" i="3" s="1"/>
  <c r="I13" i="3" s="1"/>
  <c r="G26" i="1"/>
  <c r="G19" i="3" l="1"/>
  <c r="I19" i="3" s="1"/>
  <c r="G28" i="3"/>
  <c r="I28" i="3" s="1"/>
  <c r="H4" i="4"/>
  <c r="L4" i="4"/>
  <c r="J4" i="4"/>
  <c r="G17" i="3"/>
  <c r="I17" i="3" s="1"/>
  <c r="G20" i="3"/>
  <c r="I20" i="3" s="1"/>
  <c r="G18" i="3"/>
  <c r="I18" i="3" s="1"/>
  <c r="G25" i="3"/>
  <c r="I25" i="3" s="1"/>
  <c r="G14" i="3"/>
  <c r="I14" i="3" s="1"/>
  <c r="G22" i="3"/>
  <c r="I22" i="3" s="1"/>
  <c r="G5" i="3"/>
  <c r="I5" i="3" s="1"/>
  <c r="G9" i="3"/>
  <c r="I9" i="3" s="1"/>
  <c r="G7" i="3"/>
  <c r="I7" i="3" s="1"/>
  <c r="G16" i="3"/>
  <c r="I16" i="3" s="1"/>
  <c r="G26" i="3"/>
  <c r="I26" i="3" s="1"/>
  <c r="G10" i="3"/>
  <c r="I10" i="3" s="1"/>
  <c r="G23" i="3"/>
  <c r="I23" i="3" s="1"/>
  <c r="G15" i="3"/>
  <c r="I15" i="3" s="1"/>
  <c r="G24" i="3"/>
  <c r="I24" i="3" s="1"/>
  <c r="G11" i="3"/>
  <c r="I11" i="3" s="1"/>
  <c r="G21" i="3"/>
  <c r="I21" i="3" s="1"/>
</calcChain>
</file>

<file path=xl/sharedStrings.xml><?xml version="1.0" encoding="utf-8"?>
<sst xmlns="http://schemas.openxmlformats.org/spreadsheetml/2006/main" count="307" uniqueCount="145">
  <si>
    <t>Product ID</t>
  </si>
  <si>
    <t>Product Name</t>
  </si>
  <si>
    <t>Category</t>
  </si>
  <si>
    <t>Supplier</t>
  </si>
  <si>
    <t>Unit Cost</t>
  </si>
  <si>
    <t>Selling Price</t>
  </si>
  <si>
    <t>Opening Stock</t>
  </si>
  <si>
    <t>Reorder Level</t>
  </si>
  <si>
    <t>Date</t>
  </si>
  <si>
    <t>Transaction ID</t>
  </si>
  <si>
    <t>Quantity Received</t>
  </si>
  <si>
    <t>Total Cost</t>
  </si>
  <si>
    <t>Supplier Name</t>
  </si>
  <si>
    <t>Quantity</t>
  </si>
  <si>
    <t>Total Price</t>
  </si>
  <si>
    <t>Payment Method</t>
  </si>
  <si>
    <t>Total Stock In</t>
  </si>
  <si>
    <t>Total Stock Out</t>
  </si>
  <si>
    <t>Current Stock</t>
  </si>
  <si>
    <t>Stock Status</t>
  </si>
  <si>
    <t>Stock Value</t>
  </si>
  <si>
    <t>CLT-001</t>
  </si>
  <si>
    <t>CLT-002</t>
  </si>
  <si>
    <t>CLT-003</t>
  </si>
  <si>
    <t>CLT-004</t>
  </si>
  <si>
    <t>CLT-005</t>
  </si>
  <si>
    <t>CLT-006</t>
  </si>
  <si>
    <t>CLT-007</t>
  </si>
  <si>
    <t>CLT-008</t>
  </si>
  <si>
    <t>CLT-009</t>
  </si>
  <si>
    <t>CLT-010</t>
  </si>
  <si>
    <t>ACC-011</t>
  </si>
  <si>
    <t>ACC-012</t>
  </si>
  <si>
    <t>ACC-013</t>
  </si>
  <si>
    <t>ACC-014</t>
  </si>
  <si>
    <t>ACC-015</t>
  </si>
  <si>
    <t>ACC-016</t>
  </si>
  <si>
    <t>SHO-019</t>
  </si>
  <si>
    <t>SHO-020</t>
  </si>
  <si>
    <t>SHO-021</t>
  </si>
  <si>
    <t>SHO-022</t>
  </si>
  <si>
    <t>ACC-023</t>
  </si>
  <si>
    <t>ACC-024</t>
  </si>
  <si>
    <t>ACC-025</t>
  </si>
  <si>
    <t>Classic White T-Shirt</t>
  </si>
  <si>
    <t>Graphic Cotton T-Shirt</t>
  </si>
  <si>
    <t>Slim Fit Denim Jeans</t>
  </si>
  <si>
    <t>High-Waist Black Jeans</t>
  </si>
  <si>
    <t>Casual Button-Down Shirt</t>
  </si>
  <si>
    <t>Long Sleeve Flannel Shirt</t>
  </si>
  <si>
    <t>Summer Floral Dress</t>
  </si>
  <si>
    <t>Bodycon Midi Dress</t>
  </si>
  <si>
    <t>Hooded Sweatshirt</t>
  </si>
  <si>
    <t>Lightweight Bomber Jacket</t>
  </si>
  <si>
    <t>Leather Belt (Brown)</t>
  </si>
  <si>
    <t>Leather Belt (Black)</t>
  </si>
  <si>
    <t>Fashion Wrist Watch</t>
  </si>
  <si>
    <t>Sunglasses</t>
  </si>
  <si>
    <t>Baseball Cap</t>
  </si>
  <si>
    <t>Canvas Tote Bag</t>
  </si>
  <si>
    <t>Casual Sneakers</t>
  </si>
  <si>
    <t>Slip-On Loafers</t>
  </si>
  <si>
    <t>Women's Flat Sansals</t>
  </si>
  <si>
    <t>Men's Leather Slippers</t>
  </si>
  <si>
    <t>Silver Chain Necklace</t>
  </si>
  <si>
    <t>Stud Earrings</t>
  </si>
  <si>
    <t>Cotton Face Cap</t>
  </si>
  <si>
    <t>Tops</t>
  </si>
  <si>
    <t>Bottoms</t>
  </si>
  <si>
    <t>Dresses</t>
  </si>
  <si>
    <t>Outerwear</t>
  </si>
  <si>
    <t>Accessories</t>
  </si>
  <si>
    <t>Bags</t>
  </si>
  <si>
    <t>Footwear</t>
  </si>
  <si>
    <t>Clothing Inc.</t>
  </si>
  <si>
    <t>Denim Home Ltd.</t>
  </si>
  <si>
    <t>Dress Haven</t>
  </si>
  <si>
    <t>Chic und More</t>
  </si>
  <si>
    <t>Visionette Stores</t>
  </si>
  <si>
    <t>Happy Steps Ltd.</t>
  </si>
  <si>
    <t>PUR-210</t>
  </si>
  <si>
    <t>PUR-211</t>
  </si>
  <si>
    <t>PUR-212</t>
  </si>
  <si>
    <t>PUR-213</t>
  </si>
  <si>
    <t>PUR-214</t>
  </si>
  <si>
    <t>PUR-215</t>
  </si>
  <si>
    <t>PUR-216</t>
  </si>
  <si>
    <t>PUR-217</t>
  </si>
  <si>
    <t>PUR-218</t>
  </si>
  <si>
    <t>PUR-219</t>
  </si>
  <si>
    <t>PUR-220</t>
  </si>
  <si>
    <t>PUR-221</t>
  </si>
  <si>
    <t>PUR-222</t>
  </si>
  <si>
    <t>PUR-223</t>
  </si>
  <si>
    <t>PUR-224</t>
  </si>
  <si>
    <t>PUR-225</t>
  </si>
  <si>
    <t>PUR-226</t>
  </si>
  <si>
    <t>PUR-227</t>
  </si>
  <si>
    <t>PUR-228</t>
  </si>
  <si>
    <t>PUR-229</t>
  </si>
  <si>
    <t>PUR-230</t>
  </si>
  <si>
    <t>PUR-231</t>
  </si>
  <si>
    <t>SAL-210</t>
  </si>
  <si>
    <t>SAL-211</t>
  </si>
  <si>
    <t>SAL-212</t>
  </si>
  <si>
    <t>SAL-213</t>
  </si>
  <si>
    <t>SAL-214</t>
  </si>
  <si>
    <t>SAL-215</t>
  </si>
  <si>
    <t>SAL-216</t>
  </si>
  <si>
    <t>SAL-217</t>
  </si>
  <si>
    <t>SAL-218</t>
  </si>
  <si>
    <t>SAL-219</t>
  </si>
  <si>
    <t>SAL-220</t>
  </si>
  <si>
    <t>SAL-221</t>
  </si>
  <si>
    <t>SAL-222</t>
  </si>
  <si>
    <t>SAL-223</t>
  </si>
  <si>
    <t>SAL-224</t>
  </si>
  <si>
    <t>SAL-225</t>
  </si>
  <si>
    <t>SAL-226</t>
  </si>
  <si>
    <t>SAL-227</t>
  </si>
  <si>
    <t>SAL-228</t>
  </si>
  <si>
    <t>SAL-229</t>
  </si>
  <si>
    <t>SAL-230</t>
  </si>
  <si>
    <t>SAL-231</t>
  </si>
  <si>
    <t>Card</t>
  </si>
  <si>
    <t>Cash</t>
  </si>
  <si>
    <t>Online</t>
  </si>
  <si>
    <t>SAL-232</t>
  </si>
  <si>
    <t>SAL-233</t>
  </si>
  <si>
    <t>PUR-232</t>
  </si>
  <si>
    <t>Row Labels</t>
  </si>
  <si>
    <t>Grand Total</t>
  </si>
  <si>
    <t>Sum of Current Stock</t>
  </si>
  <si>
    <t>Sum of Stock Value</t>
  </si>
  <si>
    <t>Accessories Total</t>
  </si>
  <si>
    <t>Bags Total</t>
  </si>
  <si>
    <t>Bottoms Total</t>
  </si>
  <si>
    <t>Footwear Total</t>
  </si>
  <si>
    <t>Outerwear Total</t>
  </si>
  <si>
    <t>Tops Total</t>
  </si>
  <si>
    <t>Last Stock In</t>
  </si>
  <si>
    <t>Last Stock Out</t>
  </si>
  <si>
    <t>PUR-233</t>
  </si>
  <si>
    <t>SAL-234</t>
  </si>
  <si>
    <t>ORDER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</si>
</sst>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d/m/yy;@"/>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8" fontId="0" fillId="0" borderId="0" xfId="0" applyNumberFormat="1"/>
    <xf numFmtId="44" fontId="0" fillId="0" borderId="0" xfId="1" applyFont="1"/>
    <xf numFmtId="44" fontId="0" fillId="0" borderId="0" xfId="0" applyNumberFormat="1"/>
    <xf numFmtId="14" fontId="0" fillId="0" borderId="0" xfId="0" applyNumberFormat="1"/>
    <xf numFmtId="164" fontId="0" fillId="0" borderId="0" xfId="0" applyNumberFormat="1"/>
    <xf numFmtId="165"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urrency" xfId="1" builtinId="4"/>
    <cellStyle name="Normal" xfId="0" builtinId="0"/>
  </cellStyles>
  <dxfs count="30">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9" formatCode="m/d/yyyy"/>
    </dxf>
    <dxf>
      <numFmt numFmtId="19" formatCode="m/d/yyyy"/>
    </dxf>
    <dxf>
      <numFmt numFmtId="164" formatCode="dd/mm/yyyy;@"/>
    </dxf>
    <dxf>
      <fill>
        <patternFill patternType="solid">
          <fgColor rgb="FFFFC7CE"/>
          <bgColor rgb="FF000000"/>
        </patternFill>
      </fill>
    </dxf>
    <dxf>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 formatCode="0"/>
    </dxf>
    <dxf>
      <numFmt numFmtId="0" formatCode="General"/>
    </dxf>
    <dxf>
      <numFmt numFmtId="0" formatCode="General"/>
    </dxf>
    <dxf>
      <numFmt numFmtId="165" formatCode="d/m/yy;@"/>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165" formatCode="d/m/yy;@"/>
    </dxf>
    <dxf>
      <numFmt numFmtId="34" formatCode="_(&quot;$&quot;* #,##0.00_);_(&quot;$&quot;* \(#,##0.00\);_(&quot;$&quot;* &quot;-&quot;??_);_(@_)"/>
    </dxf>
    <dxf>
      <fill>
        <patternFill>
          <bgColor rgb="FFD7BFDC"/>
        </patternFill>
      </fill>
    </dxf>
    <dxf>
      <font>
        <b/>
        <i val="0"/>
        <color theme="0"/>
      </font>
      <fill>
        <patternFill>
          <bgColor rgb="FF7852A9"/>
        </patternFill>
      </fill>
    </dxf>
    <dxf>
      <fill>
        <patternFill>
          <bgColor rgb="FFFF99CC"/>
        </patternFill>
      </fill>
    </dxf>
    <dxf>
      <fill>
        <patternFill>
          <bgColor rgb="FFFF66FF"/>
        </patternFill>
      </fill>
    </dxf>
    <dxf>
      <fill>
        <patternFill>
          <bgColor rgb="FFCC0099"/>
        </patternFill>
      </fill>
    </dxf>
    <dxf>
      <border>
        <bottom style="thin">
          <color auto="1"/>
        </bottom>
      </border>
    </dxf>
    <dxf>
      <font>
        <b/>
        <i val="0"/>
        <color theme="0"/>
      </font>
      <fill>
        <patternFill>
          <bgColor rgb="FF7852A9"/>
        </patternFill>
      </fill>
    </dxf>
    <dxf>
      <font>
        <b/>
        <i val="0"/>
        <color theme="0"/>
      </font>
      <fill>
        <patternFill>
          <bgColor rgb="FF7852A9"/>
        </patternFill>
      </fill>
    </dxf>
    <dxf>
      <fill>
        <patternFill>
          <bgColor rgb="FFD7BFDC"/>
        </patternFill>
      </fill>
    </dxf>
    <dxf>
      <border>
        <top style="thin">
          <color auto="1"/>
        </top>
        <bottom style="thin">
          <color auto="1"/>
        </bottom>
      </border>
    </dxf>
    <dxf>
      <font>
        <b/>
        <i val="0"/>
      </font>
      <fill>
        <patternFill>
          <bgColor rgb="FFE4A0F7"/>
        </patternFill>
      </fill>
      <border diagonalUp="0" diagonalDown="0">
        <left/>
        <right/>
        <top/>
        <bottom/>
        <vertical/>
        <horizontal/>
      </border>
    </dxf>
    <dxf>
      <font>
        <b/>
        <i val="0"/>
        <color theme="0"/>
      </font>
      <fill>
        <patternFill>
          <bgColor rgb="FF7852A9"/>
        </patternFill>
      </fill>
    </dxf>
  </dxfs>
  <tableStyles count="4" defaultTableStyle="TableStyleMedium2" defaultPivotStyle="PivotStyleLight16">
    <tableStyle name="PivotTable Style 1" table="0" count="6" xr9:uid="{6C64868F-1C22-4670-9436-32F54A83618F}">
      <tableStyleElement type="headerRow" dxfId="29"/>
      <tableStyleElement type="totalRow" dxfId="28"/>
      <tableStyleElement type="firstSubtotalRow" dxfId="27"/>
      <tableStyleElement type="firstRowSubheading" dxfId="26"/>
      <tableStyleElement type="pageFieldLabels" dxfId="25"/>
      <tableStyleElement type="pageFieldValues" dxfId="24"/>
    </tableStyle>
    <tableStyle name="Slicer Style 1" pivot="0" table="0" count="3" xr9:uid="{45DF7494-8DA7-4317-8EE3-F9196FBD307F}">
      <tableStyleElement type="headerRow" dxfId="23"/>
    </tableStyle>
    <tableStyle name="Table Style 1" pivot="0" count="3" xr9:uid="{A74A373D-CB2A-462D-9483-E6D6C1E74D1D}">
      <tableStyleElement type="headerRow" dxfId="22"/>
      <tableStyleElement type="firstRowStripe" dxfId="21"/>
      <tableStyleElement type="secondRowStripe" dxfId="20"/>
    </tableStyle>
    <tableStyle name="Table Style 2" pivot="0" count="2" xr9:uid="{00E79F78-51C6-4F59-9FD1-C567C5F5D674}">
      <tableStyleElement type="headerRow" dxfId="19"/>
      <tableStyleElement type="firstRowStripe" dxfId="18"/>
    </tableStyle>
  </tableStyles>
  <colors>
    <mruColors>
      <color rgb="FFE4A0F7"/>
      <color rgb="FFD7BFDC"/>
      <color rgb="FF7852A9"/>
      <color rgb="FFCC0099"/>
      <color rgb="FFFF99CC"/>
      <color rgb="FFFF66FF"/>
      <color rgb="FFFF66CC"/>
    </mruColors>
  </colors>
  <extLst>
    <ext xmlns:x14="http://schemas.microsoft.com/office/spreadsheetml/2009/9/main" uri="{46F421CA-312F-682f-3DD2-61675219B42D}">
      <x14:dxfs count="2">
        <dxf>
          <fill>
            <patternFill>
              <bgColor rgb="FFD7BFDC"/>
            </patternFill>
          </fill>
        </dxf>
        <dxf>
          <fill>
            <patternFill>
              <bgColor rgb="FFE4A0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514350</xdr:colOff>
      <xdr:row>1</xdr:row>
      <xdr:rowOff>66676</xdr:rowOff>
    </xdr:from>
    <xdr:to>
      <xdr:col>6</xdr:col>
      <xdr:colOff>523875</xdr:colOff>
      <xdr:row>12</xdr:row>
      <xdr:rowOff>9526</xdr:rowOff>
    </xdr:to>
    <mc:AlternateContent xmlns:mc="http://schemas.openxmlformats.org/markup-compatibility/2006" xmlns:a14="http://schemas.microsoft.com/office/drawing/2010/main">
      <mc:Choice Requires="a14">
        <xdr:graphicFrame macro="">
          <xdr:nvGraphicFramePr>
            <xdr:cNvPr id="2" name="Supplier">
              <a:extLst>
                <a:ext uri="{FF2B5EF4-FFF2-40B4-BE49-F238E27FC236}">
                  <a16:creationId xmlns:a16="http://schemas.microsoft.com/office/drawing/2014/main" id="{A63AF9C1-9BEB-8C2E-3B45-4CA12B944015}"/>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5838825" y="257176"/>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duagu Favour" refreshedDate="46054.627143634258" createdVersion="8" refreshedVersion="8" minRefreshableVersion="3" recordCount="23" xr:uid="{B69C866A-2091-4B1D-9B76-1ECFFF3B648A}">
  <cacheSource type="worksheet">
    <worksheetSource name="Table4"/>
  </cacheSource>
  <cacheFields count="14">
    <cacheField name="Product ID" numFmtId="0">
      <sharedItems/>
    </cacheField>
    <cacheField name="Product Name" numFmtId="0">
      <sharedItems count="23">
        <s v="Classic White T-Shirt"/>
        <s v="High-Waist Black Jeans"/>
        <s v="Long Sleeve Flannel Shirt"/>
        <s v="Lightweight Bomber Jacket"/>
        <s v="Leather Belt (Brown)"/>
        <s v="Leather Belt (Black)"/>
        <s v="Baseball Cap"/>
        <s v="Canvas Tote Bag"/>
        <s v="Women's Flat Sansals"/>
        <s v="Men's Leather Slippers"/>
        <s v="Silver Chain Necklace"/>
        <s v="Stud Earrings"/>
        <s v="Graphic Cotton T-Shirt"/>
        <s v="Cotton Face Cap"/>
        <s v="Sunglasses"/>
        <s v="Slim Fit Denim Jeans"/>
        <s v="Casual Button-Down Shirt"/>
        <s v="Summer Floral Dress"/>
        <s v="Bodycon Midi Dress"/>
        <s v="Hooded Sweatshirt"/>
        <s v="Fashion Wrist Watch"/>
        <s v="Casual Sneakers"/>
        <s v="Slip-On Loafers"/>
      </sharedItems>
    </cacheField>
    <cacheField name="Category" numFmtId="0">
      <sharedItems count="7">
        <s v="Tops"/>
        <s v="Bottoms"/>
        <s v="Outerwear"/>
        <s v="Accessories"/>
        <s v="Bags"/>
        <s v="Footwear"/>
        <s v="Dresses"/>
      </sharedItems>
    </cacheField>
    <cacheField name="Opening Stock" numFmtId="0">
      <sharedItems containsSemiMixedTypes="0" containsString="0" containsNumber="1" containsInteger="1" minValue="5" maxValue="5"/>
    </cacheField>
    <cacheField name="Total Stock In" numFmtId="0">
      <sharedItems containsSemiMixedTypes="0" containsString="0" containsNumber="1" containsInteger="1" minValue="0" maxValue="80"/>
    </cacheField>
    <cacheField name="Total Stock Out" numFmtId="0">
      <sharedItems containsSemiMixedTypes="0" containsString="0" containsNumber="1" containsInteger="1" minValue="0" maxValue="23"/>
    </cacheField>
    <cacheField name="Current Stock" numFmtId="0">
      <sharedItems containsSemiMixedTypes="0" containsString="0" containsNumber="1" containsInteger="1" minValue="2" maxValue="85"/>
    </cacheField>
    <cacheField name="Reorder Level" numFmtId="0">
      <sharedItems containsSemiMixedTypes="0" containsString="0" containsNumber="1" containsInteger="1" minValue="2" maxValue="60"/>
    </cacheField>
    <cacheField name="Stock Status" numFmtId="0">
      <sharedItems count="3">
        <s v="ORDER NOW"/>
        <s v="ALERT"/>
        <s v="OK"/>
      </sharedItems>
    </cacheField>
    <cacheField name="Unit Cost" numFmtId="44">
      <sharedItems containsSemiMixedTypes="0" containsString="0" containsNumber="1" minValue="10" maxValue="156"/>
    </cacheField>
    <cacheField name="Stock Value" numFmtId="44">
      <sharedItems containsSemiMixedTypes="0" containsString="0" containsNumber="1" minValue="60" maxValue="5850"/>
    </cacheField>
    <cacheField name="Supplier" numFmtId="164">
      <sharedItems count="6">
        <s v="Clothing Inc."/>
        <s v="Denim Home Ltd."/>
        <s v="Chic und More"/>
        <s v="Happy Steps Ltd."/>
        <s v="Visionette Stores"/>
        <s v="Dress Haven"/>
      </sharedItems>
    </cacheField>
    <cacheField name="Last Stock In" numFmtId="14">
      <sharedItems containsDate="1" containsMixedTypes="1" minDate="2026-01-03T00:00:00" maxDate="2026-01-28T00:00:00"/>
    </cacheField>
    <cacheField name="Last Stock Out" numFmtId="14">
      <sharedItems containsDate="1" containsMixedTypes="1" minDate="2026-01-02T00:00:00" maxDate="2026-01-28T00:00:00"/>
    </cacheField>
  </cacheFields>
  <extLst>
    <ext xmlns:x14="http://schemas.microsoft.com/office/spreadsheetml/2009/9/main" uri="{725AE2AE-9491-48be-B2B4-4EB974FC3084}">
      <x14:pivotCacheDefinition pivotCacheId="202110314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CLT-001"/>
    <x v="0"/>
    <x v="0"/>
    <n v="5"/>
    <n v="52"/>
    <n v="10"/>
    <n v="47"/>
    <n v="50"/>
    <x v="0"/>
    <n v="10"/>
    <n v="470"/>
    <x v="0"/>
    <d v="2026-01-27T00:00:00"/>
    <d v="2026-01-27T00:00:00"/>
  </r>
  <r>
    <s v="CLT-004"/>
    <x v="1"/>
    <x v="1"/>
    <n v="5"/>
    <n v="0"/>
    <n v="0"/>
    <n v="5"/>
    <n v="15"/>
    <x v="0"/>
    <n v="40"/>
    <n v="200"/>
    <x v="0"/>
    <s v=""/>
    <s v=""/>
  </r>
  <r>
    <s v="CLT-006"/>
    <x v="2"/>
    <x v="0"/>
    <n v="5"/>
    <n v="10"/>
    <n v="4"/>
    <n v="11"/>
    <n v="20"/>
    <x v="0"/>
    <n v="10"/>
    <n v="110"/>
    <x v="1"/>
    <d v="2026-01-20T00:00:00"/>
    <d v="2026-01-21T00:00:00"/>
  </r>
  <r>
    <s v="CLT-010"/>
    <x v="3"/>
    <x v="2"/>
    <n v="5"/>
    <n v="0"/>
    <n v="0"/>
    <n v="5"/>
    <n v="15"/>
    <x v="0"/>
    <n v="45"/>
    <n v="225"/>
    <x v="1"/>
    <s v=""/>
    <s v=""/>
  </r>
  <r>
    <s v="ACC-011"/>
    <x v="4"/>
    <x v="3"/>
    <n v="5"/>
    <n v="0"/>
    <n v="0"/>
    <n v="5"/>
    <n v="9"/>
    <x v="0"/>
    <n v="12"/>
    <n v="60"/>
    <x v="2"/>
    <s v=""/>
    <s v=""/>
  </r>
  <r>
    <s v="ACC-012"/>
    <x v="5"/>
    <x v="3"/>
    <n v="5"/>
    <n v="0"/>
    <n v="0"/>
    <n v="5"/>
    <n v="9"/>
    <x v="0"/>
    <n v="12"/>
    <n v="60"/>
    <x v="2"/>
    <s v=""/>
    <s v=""/>
  </r>
  <r>
    <s v="ACC-015"/>
    <x v="6"/>
    <x v="3"/>
    <n v="5"/>
    <n v="10"/>
    <n v="7"/>
    <n v="8"/>
    <n v="9"/>
    <x v="0"/>
    <n v="35"/>
    <n v="280"/>
    <x v="2"/>
    <d v="2026-01-25T00:00:00"/>
    <d v="2026-01-03T00:00:00"/>
  </r>
  <r>
    <s v="ACC-016"/>
    <x v="7"/>
    <x v="4"/>
    <n v="5"/>
    <n v="3"/>
    <n v="5"/>
    <n v="3"/>
    <n v="4"/>
    <x v="0"/>
    <n v="28"/>
    <n v="84"/>
    <x v="2"/>
    <d v="2026-01-21T00:00:00"/>
    <d v="2026-01-26T00:00:00"/>
  </r>
  <r>
    <s v="SHO-021"/>
    <x v="8"/>
    <x v="5"/>
    <n v="5"/>
    <n v="10"/>
    <n v="10"/>
    <n v="5"/>
    <n v="6"/>
    <x v="0"/>
    <n v="140"/>
    <n v="700"/>
    <x v="3"/>
    <d v="2026-01-09T00:00:00"/>
    <d v="2026-01-26T00:00:00"/>
  </r>
  <r>
    <s v="SHO-022"/>
    <x v="9"/>
    <x v="5"/>
    <n v="5"/>
    <n v="20"/>
    <n v="23"/>
    <n v="2"/>
    <n v="6"/>
    <x v="0"/>
    <n v="156"/>
    <n v="312"/>
    <x v="3"/>
    <d v="2026-01-03T00:00:00"/>
    <d v="2026-01-20T00:00:00"/>
  </r>
  <r>
    <s v="ACC-023"/>
    <x v="10"/>
    <x v="3"/>
    <n v="5"/>
    <n v="0"/>
    <n v="0"/>
    <n v="5"/>
    <n v="9"/>
    <x v="0"/>
    <n v="39.99"/>
    <n v="199.95000000000002"/>
    <x v="2"/>
    <s v=""/>
    <s v=""/>
  </r>
  <r>
    <s v="ACC-024"/>
    <x v="11"/>
    <x v="3"/>
    <n v="5"/>
    <n v="50"/>
    <n v="4"/>
    <n v="51"/>
    <n v="60"/>
    <x v="0"/>
    <n v="20"/>
    <n v="1020"/>
    <x v="2"/>
    <d v="2026-01-05T00:00:00"/>
    <d v="2026-01-15T00:00:00"/>
  </r>
  <r>
    <s v="CLT-002"/>
    <x v="12"/>
    <x v="0"/>
    <n v="5"/>
    <n v="42"/>
    <n v="5"/>
    <n v="42"/>
    <n v="42"/>
    <x v="1"/>
    <n v="15"/>
    <n v="630"/>
    <x v="0"/>
    <d v="2026-01-15T00:00:00"/>
    <d v="2026-01-02T00:00:00"/>
  </r>
  <r>
    <s v="ACC-025"/>
    <x v="13"/>
    <x v="3"/>
    <n v="5"/>
    <n v="2"/>
    <n v="5"/>
    <n v="2"/>
    <n v="2"/>
    <x v="1"/>
    <n v="35"/>
    <n v="70"/>
    <x v="2"/>
    <d v="2026-01-04T00:00:00"/>
    <d v="2026-01-26T00:00:00"/>
  </r>
  <r>
    <s v="ACC-014"/>
    <x v="14"/>
    <x v="3"/>
    <n v="5"/>
    <n v="53"/>
    <n v="8"/>
    <n v="50"/>
    <n v="9"/>
    <x v="2"/>
    <n v="30"/>
    <n v="1500"/>
    <x v="4"/>
    <d v="2026-01-13T00:00:00"/>
    <d v="2026-01-03T00:00:00"/>
  </r>
  <r>
    <s v="CLT-003"/>
    <x v="15"/>
    <x v="1"/>
    <n v="5"/>
    <n v="21"/>
    <n v="0"/>
    <n v="26"/>
    <n v="15"/>
    <x v="2"/>
    <n v="25"/>
    <n v="650"/>
    <x v="0"/>
    <d v="2026-01-08T00:00:00"/>
    <s v=""/>
  </r>
  <r>
    <s v="CLT-005"/>
    <x v="16"/>
    <x v="0"/>
    <n v="5"/>
    <n v="35"/>
    <n v="4"/>
    <n v="36"/>
    <n v="20"/>
    <x v="2"/>
    <n v="30"/>
    <n v="1080"/>
    <x v="1"/>
    <d v="2026-01-22T00:00:00"/>
    <d v="2026-01-02T00:00:00"/>
  </r>
  <r>
    <s v="CLT-007"/>
    <x v="17"/>
    <x v="6"/>
    <n v="5"/>
    <n v="78"/>
    <n v="3"/>
    <n v="80"/>
    <n v="7"/>
    <x v="2"/>
    <n v="15"/>
    <n v="1200"/>
    <x v="5"/>
    <d v="2026-01-25T00:00:00"/>
    <d v="2026-01-26T00:00:00"/>
  </r>
  <r>
    <s v="CLT-008"/>
    <x v="18"/>
    <x v="6"/>
    <n v="5"/>
    <n v="15"/>
    <n v="7"/>
    <n v="13"/>
    <n v="7"/>
    <x v="2"/>
    <n v="22"/>
    <n v="286"/>
    <x v="5"/>
    <d v="2026-01-20T00:00:00"/>
    <d v="2026-01-26T00:00:00"/>
  </r>
  <r>
    <s v="CLT-009"/>
    <x v="19"/>
    <x v="2"/>
    <n v="5"/>
    <n v="50"/>
    <n v="4"/>
    <n v="51"/>
    <n v="15"/>
    <x v="2"/>
    <n v="40"/>
    <n v="2040"/>
    <x v="1"/>
    <d v="2026-01-07T00:00:00"/>
    <d v="2026-01-19T00:00:00"/>
  </r>
  <r>
    <s v="ACC-013"/>
    <x v="20"/>
    <x v="3"/>
    <n v="5"/>
    <n v="80"/>
    <n v="0"/>
    <n v="85"/>
    <n v="9"/>
    <x v="2"/>
    <n v="60"/>
    <n v="5100"/>
    <x v="2"/>
    <d v="2026-01-14T00:00:00"/>
    <s v=""/>
  </r>
  <r>
    <s v="SHO-019"/>
    <x v="21"/>
    <x v="5"/>
    <n v="5"/>
    <n v="34"/>
    <n v="0"/>
    <n v="39"/>
    <n v="6"/>
    <x v="2"/>
    <n v="150"/>
    <n v="5850"/>
    <x v="3"/>
    <d v="2026-01-22T00:00:00"/>
    <s v=""/>
  </r>
  <r>
    <s v="SHO-020"/>
    <x v="22"/>
    <x v="5"/>
    <n v="5"/>
    <n v="40"/>
    <n v="7"/>
    <n v="38"/>
    <n v="6"/>
    <x v="2"/>
    <n v="100"/>
    <n v="3800"/>
    <x v="3"/>
    <d v="2026-01-09T00:00:00"/>
    <d v="2026-0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2E84F-FF51-4ECF-A2B4-8A2B6D8185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34" firstHeaderRow="0" firstDataRow="1" firstDataCol="1" rowPageCount="1" colPageCount="1"/>
  <pivotFields count="14">
    <pivotField subtotalTop="0" showAll="0" insertBlankRow="1"/>
    <pivotField axis="axisRow" subtotalTop="0" showAll="0" insertBlankRow="1">
      <items count="24">
        <item x="6"/>
        <item x="18"/>
        <item x="7"/>
        <item x="16"/>
        <item x="21"/>
        <item x="0"/>
        <item x="13"/>
        <item x="20"/>
        <item x="12"/>
        <item x="1"/>
        <item x="19"/>
        <item x="5"/>
        <item x="4"/>
        <item x="3"/>
        <item x="2"/>
        <item x="9"/>
        <item x="10"/>
        <item x="15"/>
        <item x="22"/>
        <item x="11"/>
        <item x="17"/>
        <item x="14"/>
        <item x="8"/>
        <item t="default"/>
      </items>
    </pivotField>
    <pivotField axis="axisRow" subtotalTop="0" showAll="0" insertBlankRow="1">
      <items count="8">
        <item x="3"/>
        <item x="4"/>
        <item x="1"/>
        <item x="6"/>
        <item x="5"/>
        <item x="2"/>
        <item x="0"/>
        <item t="default"/>
      </items>
    </pivotField>
    <pivotField subtotalTop="0" showAll="0" insertBlankRow="1"/>
    <pivotField subtotalTop="0" showAll="0" insertBlankRow="1"/>
    <pivotField subtotalTop="0" showAll="0" insertBlankRow="1"/>
    <pivotField dataField="1" subtotalTop="0" showAll="0" insertBlankRow="1"/>
    <pivotField subtotalTop="0" showAll="0" insertBlankRow="1"/>
    <pivotField axis="axisPage" subtotalTop="0" multipleItemSelectionAllowed="1" showAll="0" insertBlankRow="1">
      <items count="4">
        <item h="1" x="1"/>
        <item h="1" x="2"/>
        <item x="0"/>
        <item t="default"/>
      </items>
    </pivotField>
    <pivotField numFmtId="44" subtotalTop="0" showAll="0" insertBlankRow="1"/>
    <pivotField dataField="1" numFmtId="44" subtotalTop="0" showAll="0" insertBlankRow="1"/>
    <pivotField subtotalTop="0" showAll="0" insertBlankRow="1">
      <items count="7">
        <item x="2"/>
        <item x="0"/>
        <item x="1"/>
        <item x="5"/>
        <item x="3"/>
        <item x="4"/>
        <item t="default"/>
      </items>
    </pivotField>
    <pivotField subtotalTop="0" showAll="0" insertBlankRow="1"/>
    <pivotField subtotalTop="0" showAll="0" insertBlankRow="1"/>
  </pivotFields>
  <rowFields count="2">
    <field x="2"/>
    <field x="1"/>
  </rowFields>
  <rowItems count="31">
    <i>
      <x/>
    </i>
    <i r="1">
      <x/>
    </i>
    <i r="1">
      <x v="11"/>
    </i>
    <i r="1">
      <x v="12"/>
    </i>
    <i r="1">
      <x v="16"/>
    </i>
    <i r="1">
      <x v="19"/>
    </i>
    <i t="default">
      <x/>
    </i>
    <i t="blank">
      <x/>
    </i>
    <i>
      <x v="1"/>
    </i>
    <i r="1">
      <x v="2"/>
    </i>
    <i t="default">
      <x v="1"/>
    </i>
    <i t="blank">
      <x v="1"/>
    </i>
    <i>
      <x v="2"/>
    </i>
    <i r="1">
      <x v="9"/>
    </i>
    <i t="default">
      <x v="2"/>
    </i>
    <i t="blank">
      <x v="2"/>
    </i>
    <i>
      <x v="4"/>
    </i>
    <i r="1">
      <x v="15"/>
    </i>
    <i r="1">
      <x v="22"/>
    </i>
    <i t="default">
      <x v="4"/>
    </i>
    <i t="blank">
      <x v="4"/>
    </i>
    <i>
      <x v="5"/>
    </i>
    <i r="1">
      <x v="13"/>
    </i>
    <i t="default">
      <x v="5"/>
    </i>
    <i t="blank">
      <x v="5"/>
    </i>
    <i>
      <x v="6"/>
    </i>
    <i r="1">
      <x v="5"/>
    </i>
    <i r="1">
      <x v="14"/>
    </i>
    <i t="default">
      <x v="6"/>
    </i>
    <i t="blank">
      <x v="6"/>
    </i>
    <i t="grand">
      <x/>
    </i>
  </rowItems>
  <colFields count="1">
    <field x="-2"/>
  </colFields>
  <colItems count="2">
    <i>
      <x/>
    </i>
    <i i="1">
      <x v="1"/>
    </i>
  </colItems>
  <pageFields count="1">
    <pageField fld="8" hier="-1"/>
  </pageFields>
  <dataFields count="2">
    <dataField name="Sum of Current Stock" fld="6" baseField="0" baseItem="0"/>
    <dataField name="Sum of Stock Value" fld="10" baseField="0" baseItem="0" numFmtId="44"/>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9F1E0D9A-37C3-44A8-8121-D04D553A1FFF}" sourceName="Supplier">
  <pivotTables>
    <pivotTable tabId="5" name="PivotTable1"/>
  </pivotTables>
  <data>
    <tabular pivotCacheId="2021103145">
      <items count="6">
        <i x="2" s="1"/>
        <i x="0" s="1"/>
        <i x="1" s="1"/>
        <i x="3"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CBCC3515-C21B-4D28-8F06-B81D23C943CC}" cache="Slicer_Supplier" caption="Supplie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6D881-457F-4DF0-BE0F-910E09819651}" name="product_master_list" displayName="product_master_list" ref="B3:I26" totalsRowShown="0">
  <autoFilter ref="B3:I26" xr:uid="{27A6D881-457F-4DF0-BE0F-910E09819651}"/>
  <tableColumns count="8">
    <tableColumn id="1" xr3:uid="{C05BDE96-BA60-425F-A988-CC40C48B3271}" name="Product ID"/>
    <tableColumn id="2" xr3:uid="{E8FFE927-CAB5-405A-9341-6076BCC24F3B}" name="Product Name"/>
    <tableColumn id="3" xr3:uid="{6672AE66-81B6-49D9-83CD-DE4778DF4F49}" name="Category"/>
    <tableColumn id="6" xr3:uid="{CCF9D66F-3EDA-4591-9944-BDDA92699B3A}" name="Supplier"/>
    <tableColumn id="7" xr3:uid="{1255C88D-7DF5-496B-9E41-42467E97C453}" name="Unit Cost" dataCellStyle="Currency"/>
    <tableColumn id="8" xr3:uid="{6231892D-E561-472F-BE39-FE35D8E21A1D}" name="Selling Price" dataDxfId="17">
      <calculatedColumnFormula>product_master_list[[#This Row],[Unit Cost]]*2</calculatedColumnFormula>
    </tableColumn>
    <tableColumn id="9" xr3:uid="{AD6F0487-FD5A-4CFF-969C-869ED845D3A7}" name="Reorder Level"/>
    <tableColumn id="10" xr3:uid="{B8C7C908-AF06-42BD-8C78-4BB3C0DEB792}" name="Opening Stock"/>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1B2EB1-5456-4A20-976D-98369252195F}" name="Table2" displayName="Table2" ref="B3:I27" totalsRowShown="0">
  <autoFilter ref="B3:I27" xr:uid="{9D1B2EB1-5456-4A20-976D-98369252195F}"/>
  <tableColumns count="8">
    <tableColumn id="1" xr3:uid="{50A84844-7A06-4771-BB91-3EC92149D3A6}" name="Transaction ID"/>
    <tableColumn id="2" xr3:uid="{F78D31BC-3E6D-445C-8A3E-E02D5C3F1ABB}" name="Date" dataDxfId="16"/>
    <tableColumn id="3" xr3:uid="{68DEF432-154D-4596-A2AA-8C34B8D72A59}" name="Product ID"/>
    <tableColumn id="4" xr3:uid="{8344AAF1-1E36-44D2-BBDE-5DE7016D403E}" name="Category" dataDxfId="15">
      <calculatedColumnFormula>_xlfn.IFNA(INDEX(product_master_list[Category],MATCH(Table2[[#This Row],[Product ID]],product_master_list[Product ID],0)),"")</calculatedColumnFormula>
    </tableColumn>
    <tableColumn id="5" xr3:uid="{FD9BEC4D-9D55-46D5-9ACF-BF7F0A6FB769}" name="Quantity Received"/>
    <tableColumn id="7" xr3:uid="{7EE1D3A2-8909-476F-BB46-AB5747218DA3}" name="Unit Cost" dataDxfId="14" dataCellStyle="Currency">
      <calculatedColumnFormula>_xlfn.IFNA(INDEX(product_master_list[Unit Cost],MATCH(Table2[[#This Row],[Product ID]],product_master_list[Product ID],)),"")</calculatedColumnFormula>
    </tableColumn>
    <tableColumn id="8" xr3:uid="{62C55E41-75B4-4E4C-90B7-1250E9419714}" name="Total Cost" dataDxfId="13">
      <calculatedColumnFormula>IFERROR(Table2[[#This Row],[Unit Cost]]*Table2[[#This Row],[Quantity Received]],"")</calculatedColumnFormula>
    </tableColumn>
    <tableColumn id="9" xr3:uid="{8F6D6240-7FF3-49ED-B27C-48226E7763EF}" name="Supplier Name" dataDxfId="12">
      <calculatedColumnFormula>_xlfn.IFNA(INDEX(product_master_list[Supplier],MATCH(Table2[[#This Row],[Product ID]],product_master_list[Product ID],)),"")</calculatedColumnFormula>
    </tableColumn>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7386C8-2AF3-4D63-8B11-76389ECAA181}" name="Table3" displayName="Table3" ref="B3:J28" totalsRowShown="0">
  <autoFilter ref="B3:J28" xr:uid="{DB7386C8-2AF3-4D63-8B11-76389ECAA181}"/>
  <tableColumns count="9">
    <tableColumn id="1" xr3:uid="{E2FD34F3-1EE1-4451-944D-2F1712DF34AC}" name="Transaction ID"/>
    <tableColumn id="2" xr3:uid="{53CD719F-F969-4033-81B6-97F76AC241FB}" name="Date" dataDxfId="11"/>
    <tableColumn id="3" xr3:uid="{B5A19005-AF4D-4892-BB97-979EB791C062}" name="Product ID"/>
    <tableColumn id="4" xr3:uid="{AC27B2F9-2C13-431D-B882-36B898204EF4}" name="Product Name" dataDxfId="10">
      <calculatedColumnFormula>_xlfn.IFNA(INDEX(product_master_list[Product Name],MATCH(Table3[[#This Row],[Product ID]],product_master_list[Product ID],0)),"")</calculatedColumnFormula>
    </tableColumn>
    <tableColumn id="5" xr3:uid="{396135F2-D112-4FAC-9581-03EC9DF679AE}" name="Category" dataDxfId="9">
      <calculatedColumnFormula>_xlfn.IFNA(INDEX(product_master_list[Category],MATCH(Table3[[#This Row],[Product ID]],product_master_list[Product ID],0)),"")</calculatedColumnFormula>
    </tableColumn>
    <tableColumn id="6" xr3:uid="{5401567A-E966-43E3-8270-3229370075FA}" name="Selling Price" dataCellStyle="Currency">
      <calculatedColumnFormula>_xlfn.IFNA(INDEX(product_master_list[Selling Price],MATCH(Table3[[#This Row],[Product ID]],product_master_list[Product ID],0)),"")</calculatedColumnFormula>
    </tableColumn>
    <tableColumn id="10" xr3:uid="{F77A4E83-5412-4D46-9DCD-1B631D0D931F}" name="Quantity" dataDxfId="8" dataCellStyle="Currency"/>
    <tableColumn id="8" xr3:uid="{2A537567-9736-4FAB-B28F-5242447B41E2}" name="Total Price" dataDxfId="7">
      <calculatedColumnFormula>IFERROR(Table3[[#This Row],[Quantity]]*Table3[[#This Row],[Selling Price]],"")</calculatedColumnFormula>
    </tableColumn>
    <tableColumn id="9" xr3:uid="{21F1C80E-8575-4596-A84E-189483EC5E4F}" name="Payment Method"/>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F4B7BF-E969-4472-B560-3AC926FBE19B}" name="Table4" displayName="Table4" ref="B3:O26" totalsRowShown="0">
  <autoFilter ref="B3:O26" xr:uid="{30F4B7BF-E969-4472-B560-3AC926FBE19B}"/>
  <sortState xmlns:xlrd2="http://schemas.microsoft.com/office/spreadsheetml/2017/richdata2" ref="B4:O26">
    <sortCondition sortBy="cellColor" ref="J3:J26" dxfId="6"/>
  </sortState>
  <tableColumns count="14">
    <tableColumn id="1" xr3:uid="{751B0823-5AE2-49F4-87AA-11B9AF1EA132}" name="Product ID"/>
    <tableColumn id="2" xr3:uid="{85A2F57D-8CA9-43F1-8430-44BB733FABDF}" name="Product Name">
      <calculatedColumnFormula>_xlfn.IFNA(INDEX(product_master_list[Product Name],MATCH(Table4[[#This Row],[Product ID]],product_master_list[Product ID],0)),"")</calculatedColumnFormula>
    </tableColumn>
    <tableColumn id="3" xr3:uid="{A506F2A9-2846-48C9-9C27-116336E4441B}" name="Category">
      <calculatedColumnFormula>_xlfn.IFNA(INDEX(product_master_list[Category],MATCH(Table4[[#This Row],[Product ID]],product_master_list[Product ID],0)),"")</calculatedColumnFormula>
    </tableColumn>
    <tableColumn id="4" xr3:uid="{F4BCA770-7BDA-4CF6-A85F-BD6AEFB94B0C}" name="Opening Stock">
      <calculatedColumnFormula>_xlfn.IFNA(INDEX(product_master_list[Opening Stock],MATCH(Table4[[#This Row],[Product ID]],product_master_list[Product ID],0)),"")</calculatedColumnFormula>
    </tableColumn>
    <tableColumn id="5" xr3:uid="{DA6B5699-CC49-421D-8738-6B62CD278ABF}" name="Total Stock In">
      <calculatedColumnFormula>SUMIFS(Table2[Quantity Received],Table2[Product ID],Table4[[#This Row],[Product ID]])</calculatedColumnFormula>
    </tableColumn>
    <tableColumn id="6" xr3:uid="{C6C7B5C7-B50E-4369-B20A-A7334271C423}" name="Total Stock Out">
      <calculatedColumnFormula>SUMIFS(Table3[Quantity],Table3[Product ID],Table4[[#This Row],[Product ID]])</calculatedColumnFormula>
    </tableColumn>
    <tableColumn id="7" xr3:uid="{90F7DC8F-5660-4989-86AA-3FBE7CDC5070}" name="Current Stock">
      <calculatedColumnFormula>Table4[[#This Row],[Opening Stock]]+(Table4[[#This Row],[Total Stock In]]-Table4[[#This Row],[Total Stock Out]])</calculatedColumnFormula>
    </tableColumn>
    <tableColumn id="8" xr3:uid="{F126C0FE-C8A9-4887-888A-6068A9441A31}" name="Reorder Level">
      <calculatedColumnFormula>_xlfn.IFNA(INDEX(product_master_list[Reorder Level],MATCH(Table4[[#This Row],[Product ID]],product_master_list[Product ID],0)),"")</calculatedColumnFormula>
    </tableColumn>
    <tableColumn id="9" xr3:uid="{A03E2668-E003-4092-B418-65672299A87E}" name="Stock Status">
      <calculatedColumnFormula>IF(Table4[[#This Row],[Current Stock]]&lt;Table4[[#This Row],[Reorder Level]],"ORDER NOW",IF(Table4[[#This Row],[Current Stock]]=Table4[[#This Row],[Reorder Level]],"ALERT",IF(Table4[[#This Row],[Current Stock]]&gt;=Table4[[#This Row],[Reorder Level]],"OK")))</calculatedColumnFormula>
    </tableColumn>
    <tableColumn id="10" xr3:uid="{801956D6-B0AC-4F3F-B397-8DCF3AFCAE92}" name="Unit Cost" dataCellStyle="Currency">
      <calculatedColumnFormula>_xlfn.IFNA(INDEX(product_master_list[Unit Cost],MATCH(Table4[[#This Row],[Product ID]],product_master_list[Product ID],0)),"")</calculatedColumnFormula>
    </tableColumn>
    <tableColumn id="11" xr3:uid="{4EDEED45-4143-4696-BCA3-4526D95C27BF}" name="Stock Value" dataCellStyle="Currency">
      <calculatedColumnFormula>Table4[[#This Row],[Current Stock]]*Table4[[#This Row],[Unit Cost]]</calculatedColumnFormula>
    </tableColumn>
    <tableColumn id="12" xr3:uid="{2451646C-E0EB-45F7-B351-ECD0E5C88DEB}" name="Supplier" dataDxfId="5">
      <calculatedColumnFormula>INDEX(product_master_list[Supplier],MATCH(Table4[[#This Row],[Product ID]],product_master_list[Product ID],0))</calculatedColumnFormula>
    </tableColumn>
    <tableColumn id="13" xr3:uid="{9FB36CBB-2830-4C46-A34D-CB253A15F9D4}" name="Last Stock In" dataDxfId="4">
      <calculatedColumnFormula array="1">_xlfn.IFNA(INDEX(Table2[Date],MATCH(MAX(IF(Table2[Product ID]=Table4[[#This Row],[Product ID]],Table2[Date])),Table2[Date],0)),"")</calculatedColumnFormula>
    </tableColumn>
    <tableColumn id="14" xr3:uid="{693C72D8-E7D7-4487-BCF7-76EC891E4B6F}" name="Last Stock Out" dataDxfId="3">
      <calculatedColumnFormula array="1">_xlfn.IFNA(INDEX(Table3[Date],MATCH(MAX(IF(Table3[Product ID]=Table4[[#This Row],[Product ID]],Table3[Date])),Table3[Date],0)),"")</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4F9F1E-ED40-4F0D-A112-5B76D738A15E}">
  <we:reference id="wa104199815" version="1.0.0.1" store="en-US" storeType="OMEX"/>
  <we:alternateReferences>
    <we:reference id="wa104199815" version="1.0.0.1" store="wa1041998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2D99-5E51-4DA6-A072-3C6A2A95DB7E}">
  <dimension ref="B3:I26"/>
  <sheetViews>
    <sheetView topLeftCell="A3" workbookViewId="0">
      <selection activeCell="F4" sqref="F4"/>
    </sheetView>
  </sheetViews>
  <sheetFormatPr defaultRowHeight="15" x14ac:dyDescent="0.25"/>
  <cols>
    <col min="2" max="2" width="12.28515625" customWidth="1"/>
    <col min="3" max="3" width="25.140625" bestFit="1" customWidth="1"/>
    <col min="4" max="4" width="11.28515625" bestFit="1" customWidth="1"/>
    <col min="5" max="5" width="16.42578125" bestFit="1" customWidth="1"/>
    <col min="6" max="6" width="12.85546875" style="2" bestFit="1" customWidth="1"/>
    <col min="7" max="7" width="14" customWidth="1"/>
    <col min="8" max="8" width="15.42578125" customWidth="1"/>
    <col min="9" max="9" width="16.140625" bestFit="1" customWidth="1"/>
  </cols>
  <sheetData>
    <row r="3" spans="2:9" x14ac:dyDescent="0.25">
      <c r="B3" t="s">
        <v>0</v>
      </c>
      <c r="C3" t="s">
        <v>1</v>
      </c>
      <c r="D3" t="s">
        <v>2</v>
      </c>
      <c r="E3" t="s">
        <v>3</v>
      </c>
      <c r="F3" s="2" t="s">
        <v>4</v>
      </c>
      <c r="G3" t="s">
        <v>5</v>
      </c>
      <c r="H3" t="s">
        <v>7</v>
      </c>
      <c r="I3" t="s">
        <v>6</v>
      </c>
    </row>
    <row r="4" spans="2:9" x14ac:dyDescent="0.25">
      <c r="B4" t="s">
        <v>21</v>
      </c>
      <c r="C4" t="s">
        <v>44</v>
      </c>
      <c r="D4" t="s">
        <v>67</v>
      </c>
      <c r="E4" t="s">
        <v>74</v>
      </c>
      <c r="F4" s="2">
        <v>10</v>
      </c>
      <c r="G4" s="3">
        <f>product_master_list[[#This Row],[Unit Cost]]*2</f>
        <v>20</v>
      </c>
      <c r="H4">
        <v>50</v>
      </c>
      <c r="I4">
        <v>5</v>
      </c>
    </row>
    <row r="5" spans="2:9" x14ac:dyDescent="0.25">
      <c r="B5" t="s">
        <v>22</v>
      </c>
      <c r="C5" t="s">
        <v>45</v>
      </c>
      <c r="D5" t="s">
        <v>67</v>
      </c>
      <c r="E5" t="s">
        <v>74</v>
      </c>
      <c r="F5" s="2">
        <v>15</v>
      </c>
      <c r="G5" s="3">
        <f>product_master_list[[#This Row],[Unit Cost]]*2</f>
        <v>30</v>
      </c>
      <c r="H5">
        <v>42</v>
      </c>
      <c r="I5">
        <v>5</v>
      </c>
    </row>
    <row r="6" spans="2:9" x14ac:dyDescent="0.25">
      <c r="B6" t="s">
        <v>23</v>
      </c>
      <c r="C6" t="s">
        <v>46</v>
      </c>
      <c r="D6" t="s">
        <v>68</v>
      </c>
      <c r="E6" t="s">
        <v>74</v>
      </c>
      <c r="F6" s="2">
        <v>25</v>
      </c>
      <c r="G6" s="3">
        <f>product_master_list[[#This Row],[Unit Cost]]*2</f>
        <v>50</v>
      </c>
      <c r="H6">
        <v>15</v>
      </c>
      <c r="I6">
        <v>5</v>
      </c>
    </row>
    <row r="7" spans="2:9" x14ac:dyDescent="0.25">
      <c r="B7" t="s">
        <v>24</v>
      </c>
      <c r="C7" t="s">
        <v>47</v>
      </c>
      <c r="D7" t="s">
        <v>68</v>
      </c>
      <c r="E7" t="s">
        <v>74</v>
      </c>
      <c r="F7" s="2">
        <v>40</v>
      </c>
      <c r="G7" s="3">
        <f>product_master_list[[#This Row],[Unit Cost]]*2</f>
        <v>80</v>
      </c>
      <c r="H7">
        <v>15</v>
      </c>
      <c r="I7">
        <v>5</v>
      </c>
    </row>
    <row r="8" spans="2:9" x14ac:dyDescent="0.25">
      <c r="B8" t="s">
        <v>25</v>
      </c>
      <c r="C8" t="s">
        <v>48</v>
      </c>
      <c r="D8" t="s">
        <v>67</v>
      </c>
      <c r="E8" t="s">
        <v>75</v>
      </c>
      <c r="F8" s="2">
        <v>30</v>
      </c>
      <c r="G8" s="3">
        <f>product_master_list[[#This Row],[Unit Cost]]*2</f>
        <v>60</v>
      </c>
      <c r="H8">
        <v>20</v>
      </c>
      <c r="I8">
        <v>5</v>
      </c>
    </row>
    <row r="9" spans="2:9" x14ac:dyDescent="0.25">
      <c r="B9" t="s">
        <v>26</v>
      </c>
      <c r="C9" t="s">
        <v>49</v>
      </c>
      <c r="D9" t="s">
        <v>67</v>
      </c>
      <c r="E9" t="s">
        <v>75</v>
      </c>
      <c r="F9" s="2">
        <v>10</v>
      </c>
      <c r="G9" s="3">
        <f>product_master_list[[#This Row],[Unit Cost]]*2</f>
        <v>20</v>
      </c>
      <c r="H9">
        <v>20</v>
      </c>
      <c r="I9">
        <v>5</v>
      </c>
    </row>
    <row r="10" spans="2:9" x14ac:dyDescent="0.25">
      <c r="B10" t="s">
        <v>27</v>
      </c>
      <c r="C10" t="s">
        <v>50</v>
      </c>
      <c r="D10" t="s">
        <v>69</v>
      </c>
      <c r="E10" t="s">
        <v>76</v>
      </c>
      <c r="F10" s="2">
        <v>15</v>
      </c>
      <c r="G10" s="3">
        <f>product_master_list[[#This Row],[Unit Cost]]*2</f>
        <v>30</v>
      </c>
      <c r="H10">
        <v>7</v>
      </c>
      <c r="I10">
        <v>5</v>
      </c>
    </row>
    <row r="11" spans="2:9" x14ac:dyDescent="0.25">
      <c r="B11" t="s">
        <v>28</v>
      </c>
      <c r="C11" t="s">
        <v>51</v>
      </c>
      <c r="D11" t="s">
        <v>69</v>
      </c>
      <c r="E11" t="s">
        <v>76</v>
      </c>
      <c r="F11" s="2">
        <v>22</v>
      </c>
      <c r="G11" s="3">
        <f>product_master_list[[#This Row],[Unit Cost]]*2</f>
        <v>44</v>
      </c>
      <c r="H11">
        <v>7</v>
      </c>
      <c r="I11">
        <v>5</v>
      </c>
    </row>
    <row r="12" spans="2:9" x14ac:dyDescent="0.25">
      <c r="B12" t="s">
        <v>29</v>
      </c>
      <c r="C12" t="s">
        <v>52</v>
      </c>
      <c r="D12" t="s">
        <v>70</v>
      </c>
      <c r="E12" t="s">
        <v>75</v>
      </c>
      <c r="F12" s="2">
        <v>40</v>
      </c>
      <c r="G12" s="3">
        <f>product_master_list[[#This Row],[Unit Cost]]*2</f>
        <v>80</v>
      </c>
      <c r="H12">
        <v>15</v>
      </c>
      <c r="I12">
        <v>5</v>
      </c>
    </row>
    <row r="13" spans="2:9" x14ac:dyDescent="0.25">
      <c r="B13" t="s">
        <v>30</v>
      </c>
      <c r="C13" t="s">
        <v>53</v>
      </c>
      <c r="D13" t="s">
        <v>70</v>
      </c>
      <c r="E13" t="s">
        <v>75</v>
      </c>
      <c r="F13" s="2">
        <v>45</v>
      </c>
      <c r="G13" s="3">
        <f>product_master_list[[#This Row],[Unit Cost]]*2</f>
        <v>90</v>
      </c>
      <c r="H13">
        <v>15</v>
      </c>
      <c r="I13">
        <v>5</v>
      </c>
    </row>
    <row r="14" spans="2:9" x14ac:dyDescent="0.25">
      <c r="B14" t="s">
        <v>31</v>
      </c>
      <c r="C14" t="s">
        <v>54</v>
      </c>
      <c r="D14" t="s">
        <v>71</v>
      </c>
      <c r="E14" t="s">
        <v>77</v>
      </c>
      <c r="F14" s="2">
        <v>12</v>
      </c>
      <c r="G14" s="3">
        <f>product_master_list[[#This Row],[Unit Cost]]*2</f>
        <v>24</v>
      </c>
      <c r="H14">
        <v>9</v>
      </c>
      <c r="I14">
        <v>5</v>
      </c>
    </row>
    <row r="15" spans="2:9" x14ac:dyDescent="0.25">
      <c r="B15" t="s">
        <v>32</v>
      </c>
      <c r="C15" t="s">
        <v>55</v>
      </c>
      <c r="D15" t="s">
        <v>71</v>
      </c>
      <c r="E15" t="s">
        <v>77</v>
      </c>
      <c r="F15" s="2">
        <v>12</v>
      </c>
      <c r="G15" s="3">
        <f>product_master_list[[#This Row],[Unit Cost]]*2</f>
        <v>24</v>
      </c>
      <c r="H15">
        <v>9</v>
      </c>
      <c r="I15">
        <v>5</v>
      </c>
    </row>
    <row r="16" spans="2:9" x14ac:dyDescent="0.25">
      <c r="B16" t="s">
        <v>33</v>
      </c>
      <c r="C16" t="s">
        <v>56</v>
      </c>
      <c r="D16" t="s">
        <v>71</v>
      </c>
      <c r="E16" t="s">
        <v>77</v>
      </c>
      <c r="F16" s="2">
        <v>60</v>
      </c>
      <c r="G16" s="3">
        <f>product_master_list[[#This Row],[Unit Cost]]*2</f>
        <v>120</v>
      </c>
      <c r="H16">
        <v>9</v>
      </c>
      <c r="I16">
        <v>5</v>
      </c>
    </row>
    <row r="17" spans="2:9" x14ac:dyDescent="0.25">
      <c r="B17" t="s">
        <v>34</v>
      </c>
      <c r="C17" t="s">
        <v>57</v>
      </c>
      <c r="D17" t="s">
        <v>71</v>
      </c>
      <c r="E17" t="s">
        <v>78</v>
      </c>
      <c r="F17" s="2">
        <v>30</v>
      </c>
      <c r="G17" s="3">
        <f>product_master_list[[#This Row],[Unit Cost]]*2</f>
        <v>60</v>
      </c>
      <c r="H17">
        <v>9</v>
      </c>
      <c r="I17">
        <v>5</v>
      </c>
    </row>
    <row r="18" spans="2:9" x14ac:dyDescent="0.25">
      <c r="B18" t="s">
        <v>35</v>
      </c>
      <c r="C18" t="s">
        <v>58</v>
      </c>
      <c r="D18" t="s">
        <v>71</v>
      </c>
      <c r="E18" t="s">
        <v>77</v>
      </c>
      <c r="F18" s="2">
        <v>35</v>
      </c>
      <c r="G18" s="3">
        <f>product_master_list[[#This Row],[Unit Cost]]*2</f>
        <v>70</v>
      </c>
      <c r="H18">
        <v>9</v>
      </c>
      <c r="I18">
        <v>5</v>
      </c>
    </row>
    <row r="19" spans="2:9" x14ac:dyDescent="0.25">
      <c r="B19" t="s">
        <v>36</v>
      </c>
      <c r="C19" t="s">
        <v>59</v>
      </c>
      <c r="D19" t="s">
        <v>72</v>
      </c>
      <c r="E19" t="s">
        <v>77</v>
      </c>
      <c r="F19" s="2">
        <v>28</v>
      </c>
      <c r="G19" s="3">
        <f>product_master_list[[#This Row],[Unit Cost]]*2</f>
        <v>56</v>
      </c>
      <c r="H19">
        <v>4</v>
      </c>
      <c r="I19">
        <v>5</v>
      </c>
    </row>
    <row r="20" spans="2:9" x14ac:dyDescent="0.25">
      <c r="B20" t="s">
        <v>37</v>
      </c>
      <c r="C20" t="s">
        <v>60</v>
      </c>
      <c r="D20" t="s">
        <v>73</v>
      </c>
      <c r="E20" t="s">
        <v>79</v>
      </c>
      <c r="F20" s="2">
        <v>150</v>
      </c>
      <c r="G20" s="3">
        <f>product_master_list[[#This Row],[Unit Cost]]*2</f>
        <v>300</v>
      </c>
      <c r="H20">
        <v>6</v>
      </c>
      <c r="I20">
        <v>5</v>
      </c>
    </row>
    <row r="21" spans="2:9" x14ac:dyDescent="0.25">
      <c r="B21" t="s">
        <v>38</v>
      </c>
      <c r="C21" t="s">
        <v>61</v>
      </c>
      <c r="D21" t="s">
        <v>73</v>
      </c>
      <c r="E21" t="s">
        <v>79</v>
      </c>
      <c r="F21" s="2">
        <v>100</v>
      </c>
      <c r="G21" s="3">
        <f>product_master_list[[#This Row],[Unit Cost]]*2</f>
        <v>200</v>
      </c>
      <c r="H21">
        <v>6</v>
      </c>
      <c r="I21">
        <v>5</v>
      </c>
    </row>
    <row r="22" spans="2:9" x14ac:dyDescent="0.25">
      <c r="B22" t="s">
        <v>39</v>
      </c>
      <c r="C22" t="s">
        <v>62</v>
      </c>
      <c r="D22" t="s">
        <v>73</v>
      </c>
      <c r="E22" t="s">
        <v>79</v>
      </c>
      <c r="F22" s="2">
        <v>140</v>
      </c>
      <c r="G22" s="3">
        <f>product_master_list[[#This Row],[Unit Cost]]*2</f>
        <v>280</v>
      </c>
      <c r="H22">
        <v>6</v>
      </c>
      <c r="I22">
        <v>5</v>
      </c>
    </row>
    <row r="23" spans="2:9" x14ac:dyDescent="0.25">
      <c r="B23" t="s">
        <v>40</v>
      </c>
      <c r="C23" t="s">
        <v>63</v>
      </c>
      <c r="D23" t="s">
        <v>73</v>
      </c>
      <c r="E23" t="s">
        <v>79</v>
      </c>
      <c r="F23" s="2">
        <v>156</v>
      </c>
      <c r="G23" s="3">
        <f>product_master_list[[#This Row],[Unit Cost]]*2</f>
        <v>312</v>
      </c>
      <c r="H23">
        <v>6</v>
      </c>
      <c r="I23">
        <v>5</v>
      </c>
    </row>
    <row r="24" spans="2:9" x14ac:dyDescent="0.25">
      <c r="B24" t="s">
        <v>41</v>
      </c>
      <c r="C24" t="s">
        <v>64</v>
      </c>
      <c r="D24" t="s">
        <v>71</v>
      </c>
      <c r="E24" t="s">
        <v>77</v>
      </c>
      <c r="F24" s="2">
        <v>39.99</v>
      </c>
      <c r="G24" s="3">
        <f>product_master_list[[#This Row],[Unit Cost]]*2</f>
        <v>79.98</v>
      </c>
      <c r="H24">
        <v>9</v>
      </c>
      <c r="I24">
        <v>5</v>
      </c>
    </row>
    <row r="25" spans="2:9" x14ac:dyDescent="0.25">
      <c r="B25" t="s">
        <v>42</v>
      </c>
      <c r="C25" t="s">
        <v>65</v>
      </c>
      <c r="D25" t="s">
        <v>71</v>
      </c>
      <c r="E25" t="s">
        <v>77</v>
      </c>
      <c r="F25" s="2">
        <v>20</v>
      </c>
      <c r="G25" s="3">
        <f>product_master_list[[#This Row],[Unit Cost]]*2</f>
        <v>40</v>
      </c>
      <c r="H25">
        <v>60</v>
      </c>
      <c r="I25">
        <v>5</v>
      </c>
    </row>
    <row r="26" spans="2:9" x14ac:dyDescent="0.25">
      <c r="B26" t="s">
        <v>43</v>
      </c>
      <c r="C26" t="s">
        <v>66</v>
      </c>
      <c r="D26" t="s">
        <v>71</v>
      </c>
      <c r="E26" t="s">
        <v>77</v>
      </c>
      <c r="F26" s="2">
        <v>35</v>
      </c>
      <c r="G26" s="3">
        <f>product_master_list[[#This Row],[Unit Cost]]*2</f>
        <v>70</v>
      </c>
      <c r="H26">
        <v>2</v>
      </c>
      <c r="I26">
        <v>5</v>
      </c>
    </row>
  </sheetData>
  <sheetProtection sheet="1" objects="1" scenarios="1"/>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B722-B248-470A-96EB-04CFF2B8E861}">
  <dimension ref="B3:I27"/>
  <sheetViews>
    <sheetView topLeftCell="A2" workbookViewId="0">
      <selection activeCell="F4" sqref="F4"/>
    </sheetView>
  </sheetViews>
  <sheetFormatPr defaultRowHeight="15" x14ac:dyDescent="0.25"/>
  <cols>
    <col min="2" max="2" width="15.5703125" customWidth="1"/>
    <col min="3" max="3" width="15.85546875" style="4" bestFit="1" customWidth="1"/>
    <col min="4" max="4" width="12.28515625" customWidth="1"/>
    <col min="5" max="5" width="11.28515625" bestFit="1" customWidth="1"/>
    <col min="6" max="6" width="19.42578125" customWidth="1"/>
    <col min="7" max="7" width="12.85546875" style="2" bestFit="1" customWidth="1"/>
    <col min="8" max="8" width="11.85546875" customWidth="1"/>
    <col min="9" max="9" width="16.28515625" customWidth="1"/>
  </cols>
  <sheetData>
    <row r="3" spans="2:9" x14ac:dyDescent="0.25">
      <c r="B3" t="s">
        <v>9</v>
      </c>
      <c r="C3" s="4" t="s">
        <v>8</v>
      </c>
      <c r="D3" t="s">
        <v>0</v>
      </c>
      <c r="E3" t="s">
        <v>2</v>
      </c>
      <c r="F3" t="s">
        <v>10</v>
      </c>
      <c r="G3" s="2" t="s">
        <v>4</v>
      </c>
      <c r="H3" t="s">
        <v>11</v>
      </c>
      <c r="I3" t="s">
        <v>12</v>
      </c>
    </row>
    <row r="4" spans="2:9" x14ac:dyDescent="0.25">
      <c r="B4" t="s">
        <v>80</v>
      </c>
      <c r="C4" s="6">
        <v>46024</v>
      </c>
      <c r="D4" t="s">
        <v>21</v>
      </c>
      <c r="E4" t="str">
        <f>_xlfn.IFNA(INDEX(product_master_list[Category],MATCH(Table2[[#This Row],[Product ID]],product_master_list[Product ID],0)),"")</f>
        <v>Tops</v>
      </c>
      <c r="F4">
        <v>50</v>
      </c>
      <c r="G4" s="2">
        <f>_xlfn.IFNA(INDEX(product_master_list[Unit Cost],MATCH(Table2[[#This Row],[Product ID]],product_master_list[Product ID],)),"")</f>
        <v>10</v>
      </c>
      <c r="H4" s="3">
        <f>IFERROR(Table2[[#This Row],[Unit Cost]]*Table2[[#This Row],[Quantity Received]],"")</f>
        <v>500</v>
      </c>
      <c r="I4" t="str">
        <f>_xlfn.IFNA(INDEX(product_master_list[Supplier],MATCH(Table2[[#This Row],[Product ID]],product_master_list[Product ID],)),"")</f>
        <v>Clothing Inc.</v>
      </c>
    </row>
    <row r="5" spans="2:9" x14ac:dyDescent="0.25">
      <c r="B5" t="s">
        <v>81</v>
      </c>
      <c r="C5" s="6">
        <v>46024</v>
      </c>
      <c r="D5" t="s">
        <v>27</v>
      </c>
      <c r="E5" t="str">
        <f>_xlfn.IFNA(INDEX(product_master_list[Category],MATCH(Table2[[#This Row],[Product ID]],product_master_list[Product ID],0)),"")</f>
        <v>Dresses</v>
      </c>
      <c r="F5">
        <v>44</v>
      </c>
      <c r="G5" s="2">
        <f>_xlfn.IFNA(INDEX(product_master_list[Unit Cost],MATCH(Table2[[#This Row],[Product ID]],product_master_list[Product ID],)),"")</f>
        <v>15</v>
      </c>
      <c r="H5" s="3">
        <f>IFERROR(Table2[[#This Row],[Unit Cost]]*Table2[[#This Row],[Quantity Received]],"")</f>
        <v>660</v>
      </c>
      <c r="I5" t="str">
        <f>_xlfn.IFNA(INDEX(product_master_list[Supplier],MATCH(Table2[[#This Row],[Product ID]],product_master_list[Product ID],)),"")</f>
        <v>Dress Haven</v>
      </c>
    </row>
    <row r="6" spans="2:9" x14ac:dyDescent="0.25">
      <c r="B6" t="s">
        <v>82</v>
      </c>
      <c r="C6" s="6">
        <v>46025</v>
      </c>
      <c r="D6" t="s">
        <v>40</v>
      </c>
      <c r="E6" t="str">
        <f>_xlfn.IFNA(INDEX(product_master_list[Category],MATCH(Table2[[#This Row],[Product ID]],product_master_list[Product ID],0)),"")</f>
        <v>Footwear</v>
      </c>
      <c r="F6">
        <v>20</v>
      </c>
      <c r="G6" s="2">
        <f>_xlfn.IFNA(INDEX(product_master_list[Unit Cost],MATCH(Table2[[#This Row],[Product ID]],product_master_list[Product ID],)),"")</f>
        <v>156</v>
      </c>
      <c r="H6" s="3">
        <f>IFERROR(Table2[[#This Row],[Unit Cost]]*Table2[[#This Row],[Quantity Received]],"")</f>
        <v>3120</v>
      </c>
      <c r="I6" t="str">
        <f>_xlfn.IFNA(INDEX(product_master_list[Supplier],MATCH(Table2[[#This Row],[Product ID]],product_master_list[Product ID],)),"")</f>
        <v>Happy Steps Ltd.</v>
      </c>
    </row>
    <row r="7" spans="2:9" x14ac:dyDescent="0.25">
      <c r="B7" t="s">
        <v>83</v>
      </c>
      <c r="C7" s="6">
        <v>46026</v>
      </c>
      <c r="D7" t="s">
        <v>43</v>
      </c>
      <c r="E7" t="str">
        <f>_xlfn.IFNA(INDEX(product_master_list[Category],MATCH(Table2[[#This Row],[Product ID]],product_master_list[Product ID],0)),"")</f>
        <v>Accessories</v>
      </c>
      <c r="F7">
        <v>2</v>
      </c>
      <c r="G7" s="2">
        <f>_xlfn.IFNA(INDEX(product_master_list[Unit Cost],MATCH(Table2[[#This Row],[Product ID]],product_master_list[Product ID],)),"")</f>
        <v>35</v>
      </c>
      <c r="H7" s="3">
        <f>IFERROR(Table2[[#This Row],[Unit Cost]]*Table2[[#This Row],[Quantity Received]],"")</f>
        <v>70</v>
      </c>
      <c r="I7" t="str">
        <f>_xlfn.IFNA(INDEX(product_master_list[Supplier],MATCH(Table2[[#This Row],[Product ID]],product_master_list[Product ID],)),"")</f>
        <v>Chic und More</v>
      </c>
    </row>
    <row r="8" spans="2:9" x14ac:dyDescent="0.25">
      <c r="B8" t="s">
        <v>84</v>
      </c>
      <c r="C8" s="6">
        <v>46027</v>
      </c>
      <c r="D8" t="s">
        <v>42</v>
      </c>
      <c r="E8" t="str">
        <f>_xlfn.IFNA(INDEX(product_master_list[Category],MATCH(Table2[[#This Row],[Product ID]],product_master_list[Product ID],0)),"")</f>
        <v>Accessories</v>
      </c>
      <c r="F8">
        <v>50</v>
      </c>
      <c r="G8" s="2">
        <f>_xlfn.IFNA(INDEX(product_master_list[Unit Cost],MATCH(Table2[[#This Row],[Product ID]],product_master_list[Product ID],)),"")</f>
        <v>20</v>
      </c>
      <c r="H8" s="3">
        <f>IFERROR(Table2[[#This Row],[Unit Cost]]*Table2[[#This Row],[Quantity Received]],"")</f>
        <v>1000</v>
      </c>
      <c r="I8" t="str">
        <f>_xlfn.IFNA(INDEX(product_master_list[Supplier],MATCH(Table2[[#This Row],[Product ID]],product_master_list[Product ID],)),"")</f>
        <v>Chic und More</v>
      </c>
    </row>
    <row r="9" spans="2:9" x14ac:dyDescent="0.25">
      <c r="B9" t="s">
        <v>85</v>
      </c>
      <c r="C9" s="6">
        <v>46028</v>
      </c>
      <c r="D9" t="s">
        <v>22</v>
      </c>
      <c r="E9" t="str">
        <f>_xlfn.IFNA(INDEX(product_master_list[Category],MATCH(Table2[[#This Row],[Product ID]],product_master_list[Product ID],0)),"")</f>
        <v>Tops</v>
      </c>
      <c r="F9">
        <v>22</v>
      </c>
      <c r="G9" s="2">
        <f>_xlfn.IFNA(INDEX(product_master_list[Unit Cost],MATCH(Table2[[#This Row],[Product ID]],product_master_list[Product ID],)),"")</f>
        <v>15</v>
      </c>
      <c r="H9" s="3">
        <f>IFERROR(Table2[[#This Row],[Unit Cost]]*Table2[[#This Row],[Quantity Received]],"")</f>
        <v>330</v>
      </c>
      <c r="I9" t="str">
        <f>_xlfn.IFNA(INDEX(product_master_list[Supplier],MATCH(Table2[[#This Row],[Product ID]],product_master_list[Product ID],)),"")</f>
        <v>Clothing Inc.</v>
      </c>
    </row>
    <row r="10" spans="2:9" x14ac:dyDescent="0.25">
      <c r="B10" t="s">
        <v>86</v>
      </c>
      <c r="C10" s="6">
        <v>46029</v>
      </c>
      <c r="D10" t="s">
        <v>29</v>
      </c>
      <c r="E10" t="str">
        <f>_xlfn.IFNA(INDEX(product_master_list[Category],MATCH(Table2[[#This Row],[Product ID]],product_master_list[Product ID],0)),"")</f>
        <v>Outerwear</v>
      </c>
      <c r="F10">
        <v>50</v>
      </c>
      <c r="G10" s="2">
        <f>_xlfn.IFNA(INDEX(product_master_list[Unit Cost],MATCH(Table2[[#This Row],[Product ID]],product_master_list[Product ID],)),"")</f>
        <v>40</v>
      </c>
      <c r="H10" s="3">
        <f>IFERROR(Table2[[#This Row],[Unit Cost]]*Table2[[#This Row],[Quantity Received]],"")</f>
        <v>2000</v>
      </c>
      <c r="I10" t="str">
        <f>_xlfn.IFNA(INDEX(product_master_list[Supplier],MATCH(Table2[[#This Row],[Product ID]],product_master_list[Product ID],)),"")</f>
        <v>Denim Home Ltd.</v>
      </c>
    </row>
    <row r="11" spans="2:9" x14ac:dyDescent="0.25">
      <c r="B11" t="s">
        <v>87</v>
      </c>
      <c r="C11" s="6">
        <v>46030</v>
      </c>
      <c r="D11" t="s">
        <v>33</v>
      </c>
      <c r="E11" t="str">
        <f>_xlfn.IFNA(INDEX(product_master_list[Category],MATCH(Table2[[#This Row],[Product ID]],product_master_list[Product ID],0)),"")</f>
        <v>Accessories</v>
      </c>
      <c r="F11">
        <v>31</v>
      </c>
      <c r="G11" s="2">
        <f>_xlfn.IFNA(INDEX(product_master_list[Unit Cost],MATCH(Table2[[#This Row],[Product ID]],product_master_list[Product ID],)),"")</f>
        <v>60</v>
      </c>
      <c r="H11" s="3">
        <f>IFERROR(Table2[[#This Row],[Unit Cost]]*Table2[[#This Row],[Quantity Received]],"")</f>
        <v>1860</v>
      </c>
      <c r="I11" t="str">
        <f>_xlfn.IFNA(INDEX(product_master_list[Supplier],MATCH(Table2[[#This Row],[Product ID]],product_master_list[Product ID],)),"")</f>
        <v>Chic und More</v>
      </c>
    </row>
    <row r="12" spans="2:9" x14ac:dyDescent="0.25">
      <c r="B12" t="s">
        <v>88</v>
      </c>
      <c r="C12" s="6">
        <v>46030</v>
      </c>
      <c r="D12" t="s">
        <v>23</v>
      </c>
      <c r="E12" t="str">
        <f>_xlfn.IFNA(INDEX(product_master_list[Category],MATCH(Table2[[#This Row],[Product ID]],product_master_list[Product ID],0)),"")</f>
        <v>Bottoms</v>
      </c>
      <c r="F12">
        <v>21</v>
      </c>
      <c r="G12" s="2">
        <f>_xlfn.IFNA(INDEX(product_master_list[Unit Cost],MATCH(Table2[[#This Row],[Product ID]],product_master_list[Product ID],)),"")</f>
        <v>25</v>
      </c>
      <c r="H12" s="3">
        <f>IFERROR(Table2[[#This Row],[Unit Cost]]*Table2[[#This Row],[Quantity Received]],"")</f>
        <v>525</v>
      </c>
      <c r="I12" t="str">
        <f>_xlfn.IFNA(INDEX(product_master_list[Supplier],MATCH(Table2[[#This Row],[Product ID]],product_master_list[Product ID],)),"")</f>
        <v>Clothing Inc.</v>
      </c>
    </row>
    <row r="13" spans="2:9" x14ac:dyDescent="0.25">
      <c r="B13" t="s">
        <v>89</v>
      </c>
      <c r="C13" s="6">
        <v>46031</v>
      </c>
      <c r="D13" t="s">
        <v>37</v>
      </c>
      <c r="E13" t="str">
        <f>_xlfn.IFNA(INDEX(product_master_list[Category],MATCH(Table2[[#This Row],[Product ID]],product_master_list[Product ID],0)),"")</f>
        <v>Footwear</v>
      </c>
      <c r="F13">
        <v>5</v>
      </c>
      <c r="G13" s="2">
        <f>_xlfn.IFNA(INDEX(product_master_list[Unit Cost],MATCH(Table2[[#This Row],[Product ID]],product_master_list[Product ID],)),"")</f>
        <v>150</v>
      </c>
      <c r="H13" s="3">
        <f>IFERROR(Table2[[#This Row],[Unit Cost]]*Table2[[#This Row],[Quantity Received]],"")</f>
        <v>750</v>
      </c>
      <c r="I13" t="str">
        <f>_xlfn.IFNA(INDEX(product_master_list[Supplier],MATCH(Table2[[#This Row],[Product ID]],product_master_list[Product ID],)),"")</f>
        <v>Happy Steps Ltd.</v>
      </c>
    </row>
    <row r="14" spans="2:9" x14ac:dyDescent="0.25">
      <c r="B14" t="s">
        <v>90</v>
      </c>
      <c r="C14" s="6">
        <v>46031</v>
      </c>
      <c r="D14" t="s">
        <v>39</v>
      </c>
      <c r="E14" t="str">
        <f>_xlfn.IFNA(INDEX(product_master_list[Category],MATCH(Table2[[#This Row],[Product ID]],product_master_list[Product ID],0)),"")</f>
        <v>Footwear</v>
      </c>
      <c r="F14">
        <v>10</v>
      </c>
      <c r="G14" s="2">
        <f>_xlfn.IFNA(INDEX(product_master_list[Unit Cost],MATCH(Table2[[#This Row],[Product ID]],product_master_list[Product ID],)),"")</f>
        <v>140</v>
      </c>
      <c r="H14" s="3">
        <f>IFERROR(Table2[[#This Row],[Unit Cost]]*Table2[[#This Row],[Quantity Received]],"")</f>
        <v>1400</v>
      </c>
      <c r="I14" t="str">
        <f>_xlfn.IFNA(INDEX(product_master_list[Supplier],MATCH(Table2[[#This Row],[Product ID]],product_master_list[Product ID],)),"")</f>
        <v>Happy Steps Ltd.</v>
      </c>
    </row>
    <row r="15" spans="2:9" x14ac:dyDescent="0.25">
      <c r="B15" t="s">
        <v>91</v>
      </c>
      <c r="C15" s="6">
        <v>46031</v>
      </c>
      <c r="D15" t="s">
        <v>25</v>
      </c>
      <c r="E15" t="str">
        <f>_xlfn.IFNA(INDEX(product_master_list[Category],MATCH(Table2[[#This Row],[Product ID]],product_master_list[Product ID],0)),"")</f>
        <v>Tops</v>
      </c>
      <c r="F15">
        <v>1</v>
      </c>
      <c r="G15" s="2">
        <f>_xlfn.IFNA(INDEX(product_master_list[Unit Cost],MATCH(Table2[[#This Row],[Product ID]],product_master_list[Product ID],)),"")</f>
        <v>30</v>
      </c>
      <c r="H15" s="3">
        <f>IFERROR(Table2[[#This Row],[Unit Cost]]*Table2[[#This Row],[Quantity Received]],"")</f>
        <v>30</v>
      </c>
      <c r="I15" t="str">
        <f>_xlfn.IFNA(INDEX(product_master_list[Supplier],MATCH(Table2[[#This Row],[Product ID]],product_master_list[Product ID],)),"")</f>
        <v>Denim Home Ltd.</v>
      </c>
    </row>
    <row r="16" spans="2:9" x14ac:dyDescent="0.25">
      <c r="B16" t="s">
        <v>92</v>
      </c>
      <c r="C16" s="6">
        <v>46031</v>
      </c>
      <c r="D16" t="s">
        <v>38</v>
      </c>
      <c r="E16" t="str">
        <f>_xlfn.IFNA(INDEX(product_master_list[Category],MATCH(Table2[[#This Row],[Product ID]],product_master_list[Product ID],0)),"")</f>
        <v>Footwear</v>
      </c>
      <c r="F16">
        <v>40</v>
      </c>
      <c r="G16" s="2">
        <f>_xlfn.IFNA(INDEX(product_master_list[Unit Cost],MATCH(Table2[[#This Row],[Product ID]],product_master_list[Product ID],)),"")</f>
        <v>100</v>
      </c>
      <c r="H16" s="3">
        <f>IFERROR(Table2[[#This Row],[Unit Cost]]*Table2[[#This Row],[Quantity Received]],"")</f>
        <v>4000</v>
      </c>
      <c r="I16" t="str">
        <f>_xlfn.IFNA(INDEX(product_master_list[Supplier],MATCH(Table2[[#This Row],[Product ID]],product_master_list[Product ID],)),"")</f>
        <v>Happy Steps Ltd.</v>
      </c>
    </row>
    <row r="17" spans="2:9" x14ac:dyDescent="0.25">
      <c r="B17" t="s">
        <v>93</v>
      </c>
      <c r="C17" s="6">
        <v>46035</v>
      </c>
      <c r="D17" t="s">
        <v>34</v>
      </c>
      <c r="E17" t="str">
        <f>_xlfn.IFNA(INDEX(product_master_list[Category],MATCH(Table2[[#This Row],[Product ID]],product_master_list[Product ID],0)),"")</f>
        <v>Accessories</v>
      </c>
      <c r="F17">
        <v>53</v>
      </c>
      <c r="G17" s="2">
        <f>_xlfn.IFNA(INDEX(product_master_list[Unit Cost],MATCH(Table2[[#This Row],[Product ID]],product_master_list[Product ID],)),"")</f>
        <v>30</v>
      </c>
      <c r="H17" s="3">
        <f>IFERROR(Table2[[#This Row],[Unit Cost]]*Table2[[#This Row],[Quantity Received]],"")</f>
        <v>1590</v>
      </c>
      <c r="I17" t="str">
        <f>_xlfn.IFNA(INDEX(product_master_list[Supplier],MATCH(Table2[[#This Row],[Product ID]],product_master_list[Product ID],)),"")</f>
        <v>Visionette Stores</v>
      </c>
    </row>
    <row r="18" spans="2:9" x14ac:dyDescent="0.25">
      <c r="B18" t="s">
        <v>94</v>
      </c>
      <c r="C18" s="6">
        <v>46036</v>
      </c>
      <c r="D18" t="s">
        <v>33</v>
      </c>
      <c r="E18" t="str">
        <f>_xlfn.IFNA(INDEX(product_master_list[Category],MATCH(Table2[[#This Row],[Product ID]],product_master_list[Product ID],0)),"")</f>
        <v>Accessories</v>
      </c>
      <c r="F18">
        <v>49</v>
      </c>
      <c r="G18" s="2">
        <f>_xlfn.IFNA(INDEX(product_master_list[Unit Cost],MATCH(Table2[[#This Row],[Product ID]],product_master_list[Product ID],)),"")</f>
        <v>60</v>
      </c>
      <c r="H18" s="3">
        <f>IFERROR(Table2[[#This Row],[Unit Cost]]*Table2[[#This Row],[Quantity Received]],"")</f>
        <v>2940</v>
      </c>
      <c r="I18" t="str">
        <f>_xlfn.IFNA(INDEX(product_master_list[Supplier],MATCH(Table2[[#This Row],[Product ID]],product_master_list[Product ID],)),"")</f>
        <v>Chic und More</v>
      </c>
    </row>
    <row r="19" spans="2:9" x14ac:dyDescent="0.25">
      <c r="B19" t="s">
        <v>95</v>
      </c>
      <c r="C19" s="6">
        <v>46037</v>
      </c>
      <c r="D19" t="s">
        <v>22</v>
      </c>
      <c r="E19" t="str">
        <f>_xlfn.IFNA(INDEX(product_master_list[Category],MATCH(Table2[[#This Row],[Product ID]],product_master_list[Product ID],0)),"")</f>
        <v>Tops</v>
      </c>
      <c r="F19">
        <v>20</v>
      </c>
      <c r="G19" s="2">
        <f>_xlfn.IFNA(INDEX(product_master_list[Unit Cost],MATCH(Table2[[#This Row],[Product ID]],product_master_list[Product ID],)),"")</f>
        <v>15</v>
      </c>
      <c r="H19" s="3">
        <f>IFERROR(Table2[[#This Row],[Unit Cost]]*Table2[[#This Row],[Quantity Received]],"")</f>
        <v>300</v>
      </c>
      <c r="I19" t="str">
        <f>_xlfn.IFNA(INDEX(product_master_list[Supplier],MATCH(Table2[[#This Row],[Product ID]],product_master_list[Product ID],)),"")</f>
        <v>Clothing Inc.</v>
      </c>
    </row>
    <row r="20" spans="2:9" x14ac:dyDescent="0.25">
      <c r="B20" t="s">
        <v>96</v>
      </c>
      <c r="C20" s="6">
        <v>46042</v>
      </c>
      <c r="D20" t="s">
        <v>26</v>
      </c>
      <c r="E20" t="str">
        <f>_xlfn.IFNA(INDEX(product_master_list[Category],MATCH(Table2[[#This Row],[Product ID]],product_master_list[Product ID],0)),"")</f>
        <v>Tops</v>
      </c>
      <c r="F20">
        <v>10</v>
      </c>
      <c r="G20" s="2">
        <f>_xlfn.IFNA(INDEX(product_master_list[Unit Cost],MATCH(Table2[[#This Row],[Product ID]],product_master_list[Product ID],)),"")</f>
        <v>10</v>
      </c>
      <c r="H20" s="3">
        <f>IFERROR(Table2[[#This Row],[Unit Cost]]*Table2[[#This Row],[Quantity Received]],"")</f>
        <v>100</v>
      </c>
      <c r="I20" t="str">
        <f>_xlfn.IFNA(INDEX(product_master_list[Supplier],MATCH(Table2[[#This Row],[Product ID]],product_master_list[Product ID],)),"")</f>
        <v>Denim Home Ltd.</v>
      </c>
    </row>
    <row r="21" spans="2:9" x14ac:dyDescent="0.25">
      <c r="B21" t="s">
        <v>97</v>
      </c>
      <c r="C21" s="6">
        <v>46042</v>
      </c>
      <c r="D21" t="s">
        <v>28</v>
      </c>
      <c r="E21" t="str">
        <f>_xlfn.IFNA(INDEX(product_master_list[Category],MATCH(Table2[[#This Row],[Product ID]],product_master_list[Product ID],0)),"")</f>
        <v>Dresses</v>
      </c>
      <c r="F21">
        <v>15</v>
      </c>
      <c r="G21" s="2">
        <f>_xlfn.IFNA(INDEX(product_master_list[Unit Cost],MATCH(Table2[[#This Row],[Product ID]],product_master_list[Product ID],)),"")</f>
        <v>22</v>
      </c>
      <c r="H21" s="3">
        <f>IFERROR(Table2[[#This Row],[Unit Cost]]*Table2[[#This Row],[Quantity Received]],"")</f>
        <v>330</v>
      </c>
      <c r="I21" t="str">
        <f>_xlfn.IFNA(INDEX(product_master_list[Supplier],MATCH(Table2[[#This Row],[Product ID]],product_master_list[Product ID],)),"")</f>
        <v>Dress Haven</v>
      </c>
    </row>
    <row r="22" spans="2:9" x14ac:dyDescent="0.25">
      <c r="B22" t="s">
        <v>98</v>
      </c>
      <c r="C22" s="6">
        <v>46043</v>
      </c>
      <c r="D22" t="s">
        <v>36</v>
      </c>
      <c r="E22" t="str">
        <f>_xlfn.IFNA(INDEX(product_master_list[Category],MATCH(Table2[[#This Row],[Product ID]],product_master_list[Product ID],0)),"")</f>
        <v>Bags</v>
      </c>
      <c r="F22">
        <v>3</v>
      </c>
      <c r="G22" s="2">
        <f>_xlfn.IFNA(INDEX(product_master_list[Unit Cost],MATCH(Table2[[#This Row],[Product ID]],product_master_list[Product ID],)),"")</f>
        <v>28</v>
      </c>
      <c r="H22" s="3">
        <f>IFERROR(Table2[[#This Row],[Unit Cost]]*Table2[[#This Row],[Quantity Received]],"")</f>
        <v>84</v>
      </c>
      <c r="I22" t="str">
        <f>_xlfn.IFNA(INDEX(product_master_list[Supplier],MATCH(Table2[[#This Row],[Product ID]],product_master_list[Product ID],)),"")</f>
        <v>Chic und More</v>
      </c>
    </row>
    <row r="23" spans="2:9" x14ac:dyDescent="0.25">
      <c r="B23" t="s">
        <v>99</v>
      </c>
      <c r="C23" s="6">
        <v>46044</v>
      </c>
      <c r="D23" t="s">
        <v>37</v>
      </c>
      <c r="E23" t="str">
        <f>_xlfn.IFNA(INDEX(product_master_list[Category],MATCH(Table2[[#This Row],[Product ID]],product_master_list[Product ID],0)),"")</f>
        <v>Footwear</v>
      </c>
      <c r="F23">
        <v>29</v>
      </c>
      <c r="G23" s="2">
        <f>_xlfn.IFNA(INDEX(product_master_list[Unit Cost],MATCH(Table2[[#This Row],[Product ID]],product_master_list[Product ID],)),"")</f>
        <v>150</v>
      </c>
      <c r="H23" s="3">
        <f>IFERROR(Table2[[#This Row],[Unit Cost]]*Table2[[#This Row],[Quantity Received]],"")</f>
        <v>4350</v>
      </c>
      <c r="I23" t="str">
        <f>_xlfn.IFNA(INDEX(product_master_list[Supplier],MATCH(Table2[[#This Row],[Product ID]],product_master_list[Product ID],)),"")</f>
        <v>Happy Steps Ltd.</v>
      </c>
    </row>
    <row r="24" spans="2:9" x14ac:dyDescent="0.25">
      <c r="B24" t="s">
        <v>100</v>
      </c>
      <c r="C24" s="6">
        <v>46044</v>
      </c>
      <c r="D24" t="s">
        <v>25</v>
      </c>
      <c r="E24" t="str">
        <f>_xlfn.IFNA(INDEX(product_master_list[Category],MATCH(Table2[[#This Row],[Product ID]],product_master_list[Product ID],0)),"")</f>
        <v>Tops</v>
      </c>
      <c r="F24">
        <v>34</v>
      </c>
      <c r="G24" s="2">
        <f>_xlfn.IFNA(INDEX(product_master_list[Unit Cost],MATCH(Table2[[#This Row],[Product ID]],product_master_list[Product ID],)),"")</f>
        <v>30</v>
      </c>
      <c r="H24" s="3">
        <f>IFERROR(Table2[[#This Row],[Unit Cost]]*Table2[[#This Row],[Quantity Received]],"")</f>
        <v>1020</v>
      </c>
      <c r="I24" t="str">
        <f>_xlfn.IFNA(INDEX(product_master_list[Supplier],MATCH(Table2[[#This Row],[Product ID]],product_master_list[Product ID],)),"")</f>
        <v>Denim Home Ltd.</v>
      </c>
    </row>
    <row r="25" spans="2:9" x14ac:dyDescent="0.25">
      <c r="B25" t="s">
        <v>101</v>
      </c>
      <c r="C25" s="6">
        <v>46047</v>
      </c>
      <c r="D25" t="s">
        <v>27</v>
      </c>
      <c r="E25" t="str">
        <f>_xlfn.IFNA(INDEX(product_master_list[Category],MATCH(Table2[[#This Row],[Product ID]],product_master_list[Product ID],0)),"")</f>
        <v>Dresses</v>
      </c>
      <c r="F25">
        <v>34</v>
      </c>
      <c r="G25" s="2">
        <f>_xlfn.IFNA(INDEX(product_master_list[Unit Cost],MATCH(Table2[[#This Row],[Product ID]],product_master_list[Product ID],)),"")</f>
        <v>15</v>
      </c>
      <c r="H25" s="3">
        <f>IFERROR(Table2[[#This Row],[Unit Cost]]*Table2[[#This Row],[Quantity Received]],"")</f>
        <v>510</v>
      </c>
      <c r="I25" t="str">
        <f>_xlfn.IFNA(INDEX(product_master_list[Supplier],MATCH(Table2[[#This Row],[Product ID]],product_master_list[Product ID],)),"")</f>
        <v>Dress Haven</v>
      </c>
    </row>
    <row r="26" spans="2:9" x14ac:dyDescent="0.25">
      <c r="B26" t="s">
        <v>129</v>
      </c>
      <c r="C26" s="6">
        <v>46047</v>
      </c>
      <c r="D26" t="s">
        <v>35</v>
      </c>
      <c r="E26" t="str">
        <f>_xlfn.IFNA(INDEX(product_master_list[Category],MATCH(Table2[[#This Row],[Product ID]],product_master_list[Product ID],0)),"")</f>
        <v>Accessories</v>
      </c>
      <c r="F26">
        <v>10</v>
      </c>
      <c r="G26" s="2">
        <f>_xlfn.IFNA(INDEX(product_master_list[Unit Cost],MATCH(Table2[[#This Row],[Product ID]],product_master_list[Product ID],)),"")</f>
        <v>35</v>
      </c>
      <c r="H26" s="3">
        <f>IFERROR(Table2[[#This Row],[Unit Cost]]*Table2[[#This Row],[Quantity Received]],"")</f>
        <v>350</v>
      </c>
      <c r="I26" t="str">
        <f>_xlfn.IFNA(INDEX(product_master_list[Supplier],MATCH(Table2[[#This Row],[Product ID]],product_master_list[Product ID],)),"")</f>
        <v>Chic und More</v>
      </c>
    </row>
    <row r="27" spans="2:9" x14ac:dyDescent="0.25">
      <c r="B27" t="s">
        <v>142</v>
      </c>
      <c r="C27" s="6">
        <v>46049</v>
      </c>
      <c r="D27" t="s">
        <v>21</v>
      </c>
      <c r="E27" t="str">
        <f>_xlfn.IFNA(INDEX(product_master_list[Category],MATCH(Table2[[#This Row],[Product ID]],product_master_list[Product ID],0)),"")</f>
        <v>Tops</v>
      </c>
      <c r="F27">
        <v>2</v>
      </c>
      <c r="G27" s="2">
        <f>_xlfn.IFNA(INDEX(product_master_list[Unit Cost],MATCH(Table2[[#This Row],[Product ID]],product_master_list[Product ID],)),"")</f>
        <v>10</v>
      </c>
      <c r="H27" s="3">
        <f>IFERROR(Table2[[#This Row],[Unit Cost]]*Table2[[#This Row],[Quantity Received]],"")</f>
        <v>20</v>
      </c>
      <c r="I27" t="str">
        <f>_xlfn.IFNA(INDEX(product_master_list[Supplier],MATCH(Table2[[#This Row],[Product ID]],product_master_list[Product ID],)),"")</f>
        <v>Clothing Inc.</v>
      </c>
    </row>
  </sheetData>
  <sheetProtection sheet="1" objects="1" scenarios="1"/>
  <phoneticPr fontId="2" type="noConversion"/>
  <dataValidations count="1">
    <dataValidation type="list" allowBlank="1" showInputMessage="1" showErrorMessage="1" sqref="D4:D27" xr:uid="{7295E8CD-BE28-4483-8526-06F94A8F75C2}">
      <formula1>ProductID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370F-6228-4049-9418-2CF5FB82A540}">
  <dimension ref="B3:J28"/>
  <sheetViews>
    <sheetView topLeftCell="A3" workbookViewId="0">
      <selection activeCell="I34" sqref="I34"/>
    </sheetView>
  </sheetViews>
  <sheetFormatPr defaultRowHeight="15" x14ac:dyDescent="0.25"/>
  <cols>
    <col min="2" max="2" width="15.5703125" customWidth="1"/>
    <col min="3" max="3" width="7.7109375" bestFit="1" customWidth="1"/>
    <col min="4" max="4" width="12.28515625" customWidth="1"/>
    <col min="5" max="5" width="19.42578125" bestFit="1" customWidth="1"/>
    <col min="6" max="6" width="11.140625" bestFit="1" customWidth="1"/>
    <col min="7" max="7" width="14.140625" style="2" bestFit="1" customWidth="1"/>
    <col min="8" max="8" width="14.140625" style="7" customWidth="1"/>
    <col min="9" max="9" width="12.42578125" customWidth="1"/>
    <col min="10" max="10" width="18.5703125" customWidth="1"/>
  </cols>
  <sheetData>
    <row r="3" spans="2:10" x14ac:dyDescent="0.25">
      <c r="B3" t="s">
        <v>9</v>
      </c>
      <c r="C3" t="s">
        <v>8</v>
      </c>
      <c r="D3" t="s">
        <v>0</v>
      </c>
      <c r="E3" t="s">
        <v>1</v>
      </c>
      <c r="F3" t="s">
        <v>2</v>
      </c>
      <c r="G3" s="2" t="s">
        <v>5</v>
      </c>
      <c r="H3" s="7" t="s">
        <v>13</v>
      </c>
      <c r="I3" t="s">
        <v>14</v>
      </c>
      <c r="J3" t="s">
        <v>15</v>
      </c>
    </row>
    <row r="4" spans="2:10" x14ac:dyDescent="0.25">
      <c r="B4" t="s">
        <v>102</v>
      </c>
      <c r="C4" s="6">
        <v>46024</v>
      </c>
      <c r="D4" t="s">
        <v>25</v>
      </c>
      <c r="E4" t="str">
        <f>_xlfn.IFNA(INDEX(product_master_list[Product Name],MATCH(Table3[[#This Row],[Product ID]],product_master_list[Product ID],0)),"")</f>
        <v>Casual Button-Down Shirt</v>
      </c>
      <c r="F4" t="str">
        <f>_xlfn.IFNA(INDEX(product_master_list[Category],MATCH(Table3[[#This Row],[Product ID]],product_master_list[Product ID],0)),"")</f>
        <v>Tops</v>
      </c>
      <c r="G4" s="2">
        <f>_xlfn.IFNA(INDEX(product_master_list[Selling Price],MATCH(Table3[[#This Row],[Product ID]],product_master_list[Product ID],0)),"")</f>
        <v>60</v>
      </c>
      <c r="H4" s="7">
        <v>4</v>
      </c>
      <c r="I4" s="3">
        <f>IFERROR(Table3[[#This Row],[Quantity]]*Table3[[#This Row],[Selling Price]],"")</f>
        <v>240</v>
      </c>
      <c r="J4" t="s">
        <v>125</v>
      </c>
    </row>
    <row r="5" spans="2:10" x14ac:dyDescent="0.25">
      <c r="B5" t="s">
        <v>103</v>
      </c>
      <c r="C5" s="6">
        <v>46024</v>
      </c>
      <c r="D5" t="s">
        <v>35</v>
      </c>
      <c r="E5" t="str">
        <f>_xlfn.IFNA(INDEX(product_master_list[Product Name],MATCH(Table3[[#This Row],[Product ID]],product_master_list[Product ID],0)),"")</f>
        <v>Baseball Cap</v>
      </c>
      <c r="F5" t="str">
        <f>_xlfn.IFNA(INDEX(product_master_list[Category],MATCH(Table3[[#This Row],[Product ID]],product_master_list[Product ID],0)),"")</f>
        <v>Accessories</v>
      </c>
      <c r="G5" s="2">
        <f>_xlfn.IFNA(INDEX(product_master_list[Selling Price],MATCH(Table3[[#This Row],[Product ID]],product_master_list[Product ID],0)),"")</f>
        <v>70</v>
      </c>
      <c r="H5" s="7">
        <v>4</v>
      </c>
      <c r="I5" s="3">
        <f>IFERROR(Table3[[#This Row],[Quantity]]*Table3[[#This Row],[Selling Price]],"")</f>
        <v>280</v>
      </c>
      <c r="J5" t="s">
        <v>124</v>
      </c>
    </row>
    <row r="6" spans="2:10" x14ac:dyDescent="0.25">
      <c r="B6" t="s">
        <v>104</v>
      </c>
      <c r="C6" s="6">
        <v>46024</v>
      </c>
      <c r="D6" t="s">
        <v>22</v>
      </c>
      <c r="E6" t="str">
        <f>_xlfn.IFNA(INDEX(product_master_list[Product Name],MATCH(Table3[[#This Row],[Product ID]],product_master_list[Product ID],0)),"")</f>
        <v>Graphic Cotton T-Shirt</v>
      </c>
      <c r="F6" t="str">
        <f>_xlfn.IFNA(INDEX(product_master_list[Category],MATCH(Table3[[#This Row],[Product ID]],product_master_list[Product ID],0)),"")</f>
        <v>Tops</v>
      </c>
      <c r="G6" s="2">
        <f>_xlfn.IFNA(INDEX(product_master_list[Selling Price],MATCH(Table3[[#This Row],[Product ID]],product_master_list[Product ID],0)),"")</f>
        <v>30</v>
      </c>
      <c r="H6" s="7">
        <v>5</v>
      </c>
      <c r="I6" s="3">
        <f>IFERROR(Table3[[#This Row],[Quantity]]*Table3[[#This Row],[Selling Price]],"")</f>
        <v>150</v>
      </c>
      <c r="J6" t="s">
        <v>126</v>
      </c>
    </row>
    <row r="7" spans="2:10" x14ac:dyDescent="0.25">
      <c r="B7" t="s">
        <v>105</v>
      </c>
      <c r="C7" s="6">
        <v>46024</v>
      </c>
      <c r="D7" t="s">
        <v>29</v>
      </c>
      <c r="E7" t="str">
        <f>_xlfn.IFNA(INDEX(product_master_list[Product Name],MATCH(Table3[[#This Row],[Product ID]],product_master_list[Product ID],0)),"")</f>
        <v>Hooded Sweatshirt</v>
      </c>
      <c r="F7" t="str">
        <f>_xlfn.IFNA(INDEX(product_master_list[Category],MATCH(Table3[[#This Row],[Product ID]],product_master_list[Product ID],0)),"")</f>
        <v>Outerwear</v>
      </c>
      <c r="G7" s="2">
        <f>_xlfn.IFNA(INDEX(product_master_list[Selling Price],MATCH(Table3[[#This Row],[Product ID]],product_master_list[Product ID],0)),"")</f>
        <v>80</v>
      </c>
      <c r="H7" s="7">
        <v>1</v>
      </c>
      <c r="I7" s="3">
        <f>IFERROR(Table3[[#This Row],[Quantity]]*Table3[[#This Row],[Selling Price]],"")</f>
        <v>80</v>
      </c>
      <c r="J7" t="s">
        <v>125</v>
      </c>
    </row>
    <row r="8" spans="2:10" x14ac:dyDescent="0.25">
      <c r="B8" t="s">
        <v>106</v>
      </c>
      <c r="C8" s="6">
        <v>46025</v>
      </c>
      <c r="D8" t="s">
        <v>34</v>
      </c>
      <c r="E8" t="str">
        <f>_xlfn.IFNA(INDEX(product_master_list[Product Name],MATCH(Table3[[#This Row],[Product ID]],product_master_list[Product ID],0)),"")</f>
        <v>Sunglasses</v>
      </c>
      <c r="F8" t="str">
        <f>_xlfn.IFNA(INDEX(product_master_list[Category],MATCH(Table3[[#This Row],[Product ID]],product_master_list[Product ID],0)),"")</f>
        <v>Accessories</v>
      </c>
      <c r="G8" s="2">
        <f>_xlfn.IFNA(INDEX(product_master_list[Selling Price],MATCH(Table3[[#This Row],[Product ID]],product_master_list[Product ID],0)),"")</f>
        <v>60</v>
      </c>
      <c r="H8" s="7">
        <v>8</v>
      </c>
      <c r="I8" s="3">
        <f>IFERROR(Table3[[#This Row],[Quantity]]*Table3[[#This Row],[Selling Price]],"")</f>
        <v>480</v>
      </c>
      <c r="J8" t="s">
        <v>126</v>
      </c>
    </row>
    <row r="9" spans="2:10" x14ac:dyDescent="0.25">
      <c r="B9" t="s">
        <v>107</v>
      </c>
      <c r="C9" s="6">
        <v>46025</v>
      </c>
      <c r="D9" t="s">
        <v>35</v>
      </c>
      <c r="E9" t="str">
        <f>_xlfn.IFNA(INDEX(product_master_list[Product Name],MATCH(Table3[[#This Row],[Product ID]],product_master_list[Product ID],0)),"")</f>
        <v>Baseball Cap</v>
      </c>
      <c r="F9" t="str">
        <f>_xlfn.IFNA(INDEX(product_master_list[Category],MATCH(Table3[[#This Row],[Product ID]],product_master_list[Product ID],0)),"")</f>
        <v>Accessories</v>
      </c>
      <c r="G9" s="2">
        <f>_xlfn.IFNA(INDEX(product_master_list[Selling Price],MATCH(Table3[[#This Row],[Product ID]],product_master_list[Product ID],0)),"")</f>
        <v>70</v>
      </c>
      <c r="H9" s="7">
        <v>3</v>
      </c>
      <c r="I9" s="3">
        <f>IFERROR(Table3[[#This Row],[Quantity]]*Table3[[#This Row],[Selling Price]],"")</f>
        <v>210</v>
      </c>
      <c r="J9" t="s">
        <v>125</v>
      </c>
    </row>
    <row r="10" spans="2:10" x14ac:dyDescent="0.25">
      <c r="B10" t="s">
        <v>108</v>
      </c>
      <c r="C10" s="6">
        <v>46026</v>
      </c>
      <c r="D10" t="s">
        <v>28</v>
      </c>
      <c r="E10" t="str">
        <f>_xlfn.IFNA(INDEX(product_master_list[Product Name],MATCH(Table3[[#This Row],[Product ID]],product_master_list[Product ID],0)),"")</f>
        <v>Bodycon Midi Dress</v>
      </c>
      <c r="F10" t="str">
        <f>_xlfn.IFNA(INDEX(product_master_list[Category],MATCH(Table3[[#This Row],[Product ID]],product_master_list[Product ID],0)),"")</f>
        <v>Dresses</v>
      </c>
      <c r="G10" s="2">
        <f>_xlfn.IFNA(INDEX(product_master_list[Selling Price],MATCH(Table3[[#This Row],[Product ID]],product_master_list[Product ID],0)),"")</f>
        <v>44</v>
      </c>
      <c r="H10" s="7">
        <v>4</v>
      </c>
      <c r="I10" s="3">
        <f>IFERROR(Table3[[#This Row],[Quantity]]*Table3[[#This Row],[Selling Price]],"")</f>
        <v>176</v>
      </c>
      <c r="J10" t="s">
        <v>125</v>
      </c>
    </row>
    <row r="11" spans="2:10" x14ac:dyDescent="0.25">
      <c r="B11" t="s">
        <v>109</v>
      </c>
      <c r="C11" s="6">
        <v>46026</v>
      </c>
      <c r="D11" t="s">
        <v>26</v>
      </c>
      <c r="E11" t="str">
        <f>_xlfn.IFNA(INDEX(product_master_list[Product Name],MATCH(Table3[[#This Row],[Product ID]],product_master_list[Product ID],0)),"")</f>
        <v>Long Sleeve Flannel Shirt</v>
      </c>
      <c r="F11" t="str">
        <f>_xlfn.IFNA(INDEX(product_master_list[Category],MATCH(Table3[[#This Row],[Product ID]],product_master_list[Product ID],0)),"")</f>
        <v>Tops</v>
      </c>
      <c r="G11" s="2">
        <f>_xlfn.IFNA(INDEX(product_master_list[Selling Price],MATCH(Table3[[#This Row],[Product ID]],product_master_list[Product ID],0)),"")</f>
        <v>20</v>
      </c>
      <c r="H11" s="7">
        <v>1</v>
      </c>
      <c r="I11" s="3">
        <f>IFERROR(Table3[[#This Row],[Quantity]]*Table3[[#This Row],[Selling Price]],"")</f>
        <v>20</v>
      </c>
      <c r="J11" t="s">
        <v>126</v>
      </c>
    </row>
    <row r="12" spans="2:10" x14ac:dyDescent="0.25">
      <c r="B12" t="s">
        <v>110</v>
      </c>
      <c r="C12" s="6">
        <v>46037</v>
      </c>
      <c r="D12" t="s">
        <v>38</v>
      </c>
      <c r="E12" t="str">
        <f>_xlfn.IFNA(INDEX(product_master_list[Product Name],MATCH(Table3[[#This Row],[Product ID]],product_master_list[Product ID],0)),"")</f>
        <v>Slip-On Loafers</v>
      </c>
      <c r="F12" t="str">
        <f>_xlfn.IFNA(INDEX(product_master_list[Category],MATCH(Table3[[#This Row],[Product ID]],product_master_list[Product ID],0)),"")</f>
        <v>Footwear</v>
      </c>
      <c r="G12" s="2">
        <f>_xlfn.IFNA(INDEX(product_master_list[Selling Price],MATCH(Table3[[#This Row],[Product ID]],product_master_list[Product ID],0)),"")</f>
        <v>200</v>
      </c>
      <c r="H12" s="7">
        <v>7</v>
      </c>
      <c r="I12" s="3">
        <f>IFERROR(Table3[[#This Row],[Quantity]]*Table3[[#This Row],[Selling Price]],"")</f>
        <v>1400</v>
      </c>
      <c r="J12" t="s">
        <v>125</v>
      </c>
    </row>
    <row r="13" spans="2:10" x14ac:dyDescent="0.25">
      <c r="B13" t="s">
        <v>111</v>
      </c>
      <c r="C13" s="6">
        <v>46037</v>
      </c>
      <c r="D13" t="s">
        <v>42</v>
      </c>
      <c r="E13" t="str">
        <f>_xlfn.IFNA(INDEX(product_master_list[Product Name],MATCH(Table3[[#This Row],[Product ID]],product_master_list[Product ID],0)),"")</f>
        <v>Stud Earrings</v>
      </c>
      <c r="F13" t="str">
        <f>_xlfn.IFNA(INDEX(product_master_list[Category],MATCH(Table3[[#This Row],[Product ID]],product_master_list[Product ID],0)),"")</f>
        <v>Accessories</v>
      </c>
      <c r="G13" s="2">
        <f>_xlfn.IFNA(INDEX(product_master_list[Selling Price],MATCH(Table3[[#This Row],[Product ID]],product_master_list[Product ID],0)),"")</f>
        <v>40</v>
      </c>
      <c r="H13" s="7">
        <v>4</v>
      </c>
      <c r="I13" s="3">
        <f>IFERROR(Table3[[#This Row],[Quantity]]*Table3[[#This Row],[Selling Price]],"")</f>
        <v>160</v>
      </c>
      <c r="J13" t="s">
        <v>124</v>
      </c>
    </row>
    <row r="14" spans="2:10" x14ac:dyDescent="0.25">
      <c r="B14" t="s">
        <v>112</v>
      </c>
      <c r="C14" s="6">
        <v>46037</v>
      </c>
      <c r="D14" t="s">
        <v>36</v>
      </c>
      <c r="E14" t="str">
        <f>_xlfn.IFNA(INDEX(product_master_list[Product Name],MATCH(Table3[[#This Row],[Product ID]],product_master_list[Product ID],0)),"")</f>
        <v>Canvas Tote Bag</v>
      </c>
      <c r="F14" t="str">
        <f>_xlfn.IFNA(INDEX(product_master_list[Category],MATCH(Table3[[#This Row],[Product ID]],product_master_list[Product ID],0)),"")</f>
        <v>Bags</v>
      </c>
      <c r="G14" s="2">
        <f>_xlfn.IFNA(INDEX(product_master_list[Selling Price],MATCH(Table3[[#This Row],[Product ID]],product_master_list[Product ID],0)),"")</f>
        <v>56</v>
      </c>
      <c r="H14" s="7">
        <v>1</v>
      </c>
      <c r="I14" s="3">
        <f>IFERROR(Table3[[#This Row],[Quantity]]*Table3[[#This Row],[Selling Price]],"")</f>
        <v>56</v>
      </c>
      <c r="J14" t="s">
        <v>125</v>
      </c>
    </row>
    <row r="15" spans="2:10" x14ac:dyDescent="0.25">
      <c r="B15" t="s">
        <v>113</v>
      </c>
      <c r="C15" s="6">
        <v>46038</v>
      </c>
      <c r="D15" t="s">
        <v>27</v>
      </c>
      <c r="E15" t="str">
        <f>_xlfn.IFNA(INDEX(product_master_list[Product Name],MATCH(Table3[[#This Row],[Product ID]],product_master_list[Product ID],0)),"")</f>
        <v>Summer Floral Dress</v>
      </c>
      <c r="F15" t="str">
        <f>_xlfn.IFNA(INDEX(product_master_list[Category],MATCH(Table3[[#This Row],[Product ID]],product_master_list[Product ID],0)),"")</f>
        <v>Dresses</v>
      </c>
      <c r="G15" s="2">
        <f>_xlfn.IFNA(INDEX(product_master_list[Selling Price],MATCH(Table3[[#This Row],[Product ID]],product_master_list[Product ID],0)),"")</f>
        <v>30</v>
      </c>
      <c r="H15" s="7">
        <v>2</v>
      </c>
      <c r="I15" s="3">
        <f>IFERROR(Table3[[#This Row],[Quantity]]*Table3[[#This Row],[Selling Price]],"")</f>
        <v>60</v>
      </c>
      <c r="J15" t="s">
        <v>125</v>
      </c>
    </row>
    <row r="16" spans="2:10" x14ac:dyDescent="0.25">
      <c r="B16" t="s">
        <v>114</v>
      </c>
      <c r="C16" s="6">
        <v>46041</v>
      </c>
      <c r="D16" t="s">
        <v>29</v>
      </c>
      <c r="E16" t="str">
        <f>_xlfn.IFNA(INDEX(product_master_list[Product Name],MATCH(Table3[[#This Row],[Product ID]],product_master_list[Product ID],0)),"")</f>
        <v>Hooded Sweatshirt</v>
      </c>
      <c r="F16" t="str">
        <f>_xlfn.IFNA(INDEX(product_master_list[Category],MATCH(Table3[[#This Row],[Product ID]],product_master_list[Product ID],0)),"")</f>
        <v>Outerwear</v>
      </c>
      <c r="G16" s="2">
        <f>_xlfn.IFNA(INDEX(product_master_list[Selling Price],MATCH(Table3[[#This Row],[Product ID]],product_master_list[Product ID],0)),"")</f>
        <v>80</v>
      </c>
      <c r="H16" s="7">
        <v>3</v>
      </c>
      <c r="I16" s="3">
        <f>IFERROR(Table3[[#This Row],[Quantity]]*Table3[[#This Row],[Selling Price]],"")</f>
        <v>240</v>
      </c>
      <c r="J16" t="s">
        <v>126</v>
      </c>
    </row>
    <row r="17" spans="2:10" x14ac:dyDescent="0.25">
      <c r="B17" t="s">
        <v>115</v>
      </c>
      <c r="C17" s="6">
        <v>46041</v>
      </c>
      <c r="D17" t="s">
        <v>40</v>
      </c>
      <c r="E17" t="str">
        <f>_xlfn.IFNA(INDEX(product_master_list[Product Name],MATCH(Table3[[#This Row],[Product ID]],product_master_list[Product ID],0)),"")</f>
        <v>Men's Leather Slippers</v>
      </c>
      <c r="F17" t="str">
        <f>_xlfn.IFNA(INDEX(product_master_list[Category],MATCH(Table3[[#This Row],[Product ID]],product_master_list[Product ID],0)),"")</f>
        <v>Footwear</v>
      </c>
      <c r="G17" s="2">
        <f>_xlfn.IFNA(INDEX(product_master_list[Selling Price],MATCH(Table3[[#This Row],[Product ID]],product_master_list[Product ID],0)),"")</f>
        <v>312</v>
      </c>
      <c r="H17" s="7">
        <v>3</v>
      </c>
      <c r="I17" s="3">
        <f>IFERROR(Table3[[#This Row],[Quantity]]*Table3[[#This Row],[Selling Price]],"")</f>
        <v>936</v>
      </c>
      <c r="J17" t="s">
        <v>124</v>
      </c>
    </row>
    <row r="18" spans="2:10" x14ac:dyDescent="0.25">
      <c r="B18" t="s">
        <v>116</v>
      </c>
      <c r="C18" s="6">
        <v>46041</v>
      </c>
      <c r="D18" t="s">
        <v>39</v>
      </c>
      <c r="E18" t="str">
        <f>_xlfn.IFNA(INDEX(product_master_list[Product Name],MATCH(Table3[[#This Row],[Product ID]],product_master_list[Product ID],0)),"")</f>
        <v>Women's Flat Sansals</v>
      </c>
      <c r="F18" t="str">
        <f>_xlfn.IFNA(INDEX(product_master_list[Category],MATCH(Table3[[#This Row],[Product ID]],product_master_list[Product ID],0)),"")</f>
        <v>Footwear</v>
      </c>
      <c r="G18" s="2">
        <f>_xlfn.IFNA(INDEX(product_master_list[Selling Price],MATCH(Table3[[#This Row],[Product ID]],product_master_list[Product ID],0)),"")</f>
        <v>280</v>
      </c>
      <c r="H18" s="7">
        <v>4</v>
      </c>
      <c r="I18" s="3">
        <f>IFERROR(Table3[[#This Row],[Quantity]]*Table3[[#This Row],[Selling Price]],"")</f>
        <v>1120</v>
      </c>
      <c r="J18" t="s">
        <v>125</v>
      </c>
    </row>
    <row r="19" spans="2:10" x14ac:dyDescent="0.25">
      <c r="B19" t="s">
        <v>117</v>
      </c>
      <c r="C19" s="6">
        <v>46042</v>
      </c>
      <c r="D19" t="s">
        <v>21</v>
      </c>
      <c r="E19" t="str">
        <f>_xlfn.IFNA(INDEX(product_master_list[Product Name],MATCH(Table3[[#This Row],[Product ID]],product_master_list[Product ID],0)),"")</f>
        <v>Classic White T-Shirt</v>
      </c>
      <c r="F19" t="str">
        <f>_xlfn.IFNA(INDEX(product_master_list[Category],MATCH(Table3[[#This Row],[Product ID]],product_master_list[Product ID],0)),"")</f>
        <v>Tops</v>
      </c>
      <c r="G19" s="2">
        <f>_xlfn.IFNA(INDEX(product_master_list[Selling Price],MATCH(Table3[[#This Row],[Product ID]],product_master_list[Product ID],0)),"")</f>
        <v>20</v>
      </c>
      <c r="H19" s="7">
        <v>9</v>
      </c>
      <c r="I19" s="3">
        <f>IFERROR(Table3[[#This Row],[Quantity]]*Table3[[#This Row],[Selling Price]],"")</f>
        <v>180</v>
      </c>
      <c r="J19" t="s">
        <v>126</v>
      </c>
    </row>
    <row r="20" spans="2:10" x14ac:dyDescent="0.25">
      <c r="B20" t="s">
        <v>118</v>
      </c>
      <c r="C20" s="6">
        <v>46042</v>
      </c>
      <c r="D20" t="s">
        <v>40</v>
      </c>
      <c r="E20" t="str">
        <f>_xlfn.IFNA(INDEX(product_master_list[Product Name],MATCH(Table3[[#This Row],[Product ID]],product_master_list[Product ID],0)),"")</f>
        <v>Men's Leather Slippers</v>
      </c>
      <c r="F20" t="str">
        <f>_xlfn.IFNA(INDEX(product_master_list[Category],MATCH(Table3[[#This Row],[Product ID]],product_master_list[Product ID],0)),"")</f>
        <v>Footwear</v>
      </c>
      <c r="G20" s="2">
        <f>_xlfn.IFNA(INDEX(product_master_list[Selling Price],MATCH(Table3[[#This Row],[Product ID]],product_master_list[Product ID],0)),"")</f>
        <v>312</v>
      </c>
      <c r="H20" s="7">
        <v>20</v>
      </c>
      <c r="I20" s="3">
        <f>IFERROR(Table3[[#This Row],[Quantity]]*Table3[[#This Row],[Selling Price]],"")</f>
        <v>6240</v>
      </c>
      <c r="J20" t="s">
        <v>126</v>
      </c>
    </row>
    <row r="21" spans="2:10" x14ac:dyDescent="0.25">
      <c r="B21" t="s">
        <v>119</v>
      </c>
      <c r="C21" s="6">
        <v>46043</v>
      </c>
      <c r="D21" t="s">
        <v>26</v>
      </c>
      <c r="E21" t="str">
        <f>_xlfn.IFNA(INDEX(product_master_list[Product Name],MATCH(Table3[[#This Row],[Product ID]],product_master_list[Product ID],0)),"")</f>
        <v>Long Sleeve Flannel Shirt</v>
      </c>
      <c r="F21" t="str">
        <f>_xlfn.IFNA(INDEX(product_master_list[Category],MATCH(Table3[[#This Row],[Product ID]],product_master_list[Product ID],0)),"")</f>
        <v>Tops</v>
      </c>
      <c r="G21" s="2">
        <f>_xlfn.IFNA(INDEX(product_master_list[Selling Price],MATCH(Table3[[#This Row],[Product ID]],product_master_list[Product ID],0)),"")</f>
        <v>20</v>
      </c>
      <c r="H21" s="7">
        <v>3</v>
      </c>
      <c r="I21" s="3">
        <f>IFERROR(Table3[[#This Row],[Quantity]]*Table3[[#This Row],[Selling Price]],"")</f>
        <v>60</v>
      </c>
      <c r="J21" t="s">
        <v>124</v>
      </c>
    </row>
    <row r="22" spans="2:10" x14ac:dyDescent="0.25">
      <c r="B22" t="s">
        <v>120</v>
      </c>
      <c r="C22" s="6">
        <v>46048</v>
      </c>
      <c r="D22" t="s">
        <v>36</v>
      </c>
      <c r="E22" t="str">
        <f>_xlfn.IFNA(INDEX(product_master_list[Product Name],MATCH(Table3[[#This Row],[Product ID]],product_master_list[Product ID],0)),"")</f>
        <v>Canvas Tote Bag</v>
      </c>
      <c r="F22" t="str">
        <f>_xlfn.IFNA(INDEX(product_master_list[Category],MATCH(Table3[[#This Row],[Product ID]],product_master_list[Product ID],0)),"")</f>
        <v>Bags</v>
      </c>
      <c r="G22" s="2">
        <f>_xlfn.IFNA(INDEX(product_master_list[Selling Price],MATCH(Table3[[#This Row],[Product ID]],product_master_list[Product ID],0)),"")</f>
        <v>56</v>
      </c>
      <c r="H22" s="7">
        <v>4</v>
      </c>
      <c r="I22" s="3">
        <f>IFERROR(Table3[[#This Row],[Quantity]]*Table3[[#This Row],[Selling Price]],"")</f>
        <v>224</v>
      </c>
      <c r="J22" t="s">
        <v>125</v>
      </c>
    </row>
    <row r="23" spans="2:10" x14ac:dyDescent="0.25">
      <c r="B23" t="s">
        <v>121</v>
      </c>
      <c r="C23" s="6">
        <v>46048</v>
      </c>
      <c r="D23" t="s">
        <v>28</v>
      </c>
      <c r="E23" t="str">
        <f>_xlfn.IFNA(INDEX(product_master_list[Product Name],MATCH(Table3[[#This Row],[Product ID]],product_master_list[Product ID],0)),"")</f>
        <v>Bodycon Midi Dress</v>
      </c>
      <c r="F23" t="str">
        <f>_xlfn.IFNA(INDEX(product_master_list[Category],MATCH(Table3[[#This Row],[Product ID]],product_master_list[Product ID],0)),"")</f>
        <v>Dresses</v>
      </c>
      <c r="G23" s="2">
        <f>_xlfn.IFNA(INDEX(product_master_list[Selling Price],MATCH(Table3[[#This Row],[Product ID]],product_master_list[Product ID],0)),"")</f>
        <v>44</v>
      </c>
      <c r="H23" s="7">
        <v>1</v>
      </c>
      <c r="I23" s="3">
        <f>IFERROR(Table3[[#This Row],[Quantity]]*Table3[[#This Row],[Selling Price]],"")</f>
        <v>44</v>
      </c>
      <c r="J23" t="s">
        <v>125</v>
      </c>
    </row>
    <row r="24" spans="2:10" x14ac:dyDescent="0.25">
      <c r="B24" t="s">
        <v>122</v>
      </c>
      <c r="C24" s="6">
        <v>46048</v>
      </c>
      <c r="D24" t="s">
        <v>27</v>
      </c>
      <c r="E24" t="str">
        <f>_xlfn.IFNA(INDEX(product_master_list[Product Name],MATCH(Table3[[#This Row],[Product ID]],product_master_list[Product ID],0)),"")</f>
        <v>Summer Floral Dress</v>
      </c>
      <c r="F24" t="str">
        <f>_xlfn.IFNA(INDEX(product_master_list[Category],MATCH(Table3[[#This Row],[Product ID]],product_master_list[Product ID],0)),"")</f>
        <v>Dresses</v>
      </c>
      <c r="G24" s="2">
        <f>_xlfn.IFNA(INDEX(product_master_list[Selling Price],MATCH(Table3[[#This Row],[Product ID]],product_master_list[Product ID],0)),"")</f>
        <v>30</v>
      </c>
      <c r="H24" s="7">
        <v>1</v>
      </c>
      <c r="I24" s="3">
        <f>IFERROR(Table3[[#This Row],[Quantity]]*Table3[[#This Row],[Selling Price]],"")</f>
        <v>30</v>
      </c>
      <c r="J24" t="s">
        <v>126</v>
      </c>
    </row>
    <row r="25" spans="2:10" x14ac:dyDescent="0.25">
      <c r="B25" t="s">
        <v>123</v>
      </c>
      <c r="C25" s="6">
        <v>46048</v>
      </c>
      <c r="D25" t="s">
        <v>39</v>
      </c>
      <c r="E25" t="str">
        <f>_xlfn.IFNA(INDEX(product_master_list[Product Name],MATCH(Table3[[#This Row],[Product ID]],product_master_list[Product ID],0)),"")</f>
        <v>Women's Flat Sansals</v>
      </c>
      <c r="F25" t="str">
        <f>_xlfn.IFNA(INDEX(product_master_list[Category],MATCH(Table3[[#This Row],[Product ID]],product_master_list[Product ID],0)),"")</f>
        <v>Footwear</v>
      </c>
      <c r="G25" s="2">
        <f>_xlfn.IFNA(INDEX(product_master_list[Selling Price],MATCH(Table3[[#This Row],[Product ID]],product_master_list[Product ID],0)),"")</f>
        <v>280</v>
      </c>
      <c r="H25" s="7">
        <v>6</v>
      </c>
      <c r="I25" s="3">
        <f>IFERROR(Table3[[#This Row],[Quantity]]*Table3[[#This Row],[Selling Price]],"")</f>
        <v>1680</v>
      </c>
      <c r="J25" t="s">
        <v>125</v>
      </c>
    </row>
    <row r="26" spans="2:10" x14ac:dyDescent="0.25">
      <c r="B26" t="s">
        <v>127</v>
      </c>
      <c r="C26" s="6">
        <v>46048</v>
      </c>
      <c r="D26" t="s">
        <v>28</v>
      </c>
      <c r="E26" t="str">
        <f>_xlfn.IFNA(INDEX(product_master_list[Product Name],MATCH(Table3[[#This Row],[Product ID]],product_master_list[Product ID],0)),"")</f>
        <v>Bodycon Midi Dress</v>
      </c>
      <c r="F26" t="str">
        <f>_xlfn.IFNA(INDEX(product_master_list[Category],MATCH(Table3[[#This Row],[Product ID]],product_master_list[Product ID],0)),"")</f>
        <v>Dresses</v>
      </c>
      <c r="G26" s="2">
        <f>_xlfn.IFNA(INDEX(product_master_list[Selling Price],MATCH(Table3[[#This Row],[Product ID]],product_master_list[Product ID],0)),"")</f>
        <v>44</v>
      </c>
      <c r="H26" s="7">
        <v>2</v>
      </c>
      <c r="I26" s="3">
        <f>IFERROR(Table3[[#This Row],[Quantity]]*Table3[[#This Row],[Selling Price]],"")</f>
        <v>88</v>
      </c>
      <c r="J26" t="s">
        <v>124</v>
      </c>
    </row>
    <row r="27" spans="2:10" x14ac:dyDescent="0.25">
      <c r="B27" t="s">
        <v>128</v>
      </c>
      <c r="C27" s="6">
        <v>46048</v>
      </c>
      <c r="D27" t="s">
        <v>43</v>
      </c>
      <c r="E27" t="str">
        <f>_xlfn.IFNA(INDEX(product_master_list[Product Name],MATCH(Table3[[#This Row],[Product ID]],product_master_list[Product ID],0)),"")</f>
        <v>Cotton Face Cap</v>
      </c>
      <c r="F27" t="str">
        <f>_xlfn.IFNA(INDEX(product_master_list[Category],MATCH(Table3[[#This Row],[Product ID]],product_master_list[Product ID],0)),"")</f>
        <v>Accessories</v>
      </c>
      <c r="G27" s="2">
        <f>_xlfn.IFNA(INDEX(product_master_list[Selling Price],MATCH(Table3[[#This Row],[Product ID]],product_master_list[Product ID],0)),"")</f>
        <v>70</v>
      </c>
      <c r="H27" s="7">
        <v>5</v>
      </c>
      <c r="I27" s="3">
        <f>IFERROR(Table3[[#This Row],[Quantity]]*Table3[[#This Row],[Selling Price]],"")</f>
        <v>350</v>
      </c>
      <c r="J27" t="s">
        <v>126</v>
      </c>
    </row>
    <row r="28" spans="2:10" x14ac:dyDescent="0.25">
      <c r="B28" t="s">
        <v>143</v>
      </c>
      <c r="C28" s="6">
        <v>46049</v>
      </c>
      <c r="D28" t="s">
        <v>21</v>
      </c>
      <c r="E28" t="str">
        <f>_xlfn.IFNA(INDEX(product_master_list[Product Name],MATCH(Table3[[#This Row],[Product ID]],product_master_list[Product ID],0)),"")</f>
        <v>Classic White T-Shirt</v>
      </c>
      <c r="F28" t="str">
        <f>_xlfn.IFNA(INDEX(product_master_list[Category],MATCH(Table3[[#This Row],[Product ID]],product_master_list[Product ID],0)),"")</f>
        <v>Tops</v>
      </c>
      <c r="G28" s="2">
        <f>_xlfn.IFNA(INDEX(product_master_list[Selling Price],MATCH(Table3[[#This Row],[Product ID]],product_master_list[Product ID],0)),"")</f>
        <v>20</v>
      </c>
      <c r="H28" s="7">
        <v>1</v>
      </c>
      <c r="I28" s="3">
        <f>IFERROR(Table3[[#This Row],[Quantity]]*Table3[[#This Row],[Selling Price]],"")</f>
        <v>20</v>
      </c>
      <c r="J28" t="s">
        <v>126</v>
      </c>
    </row>
  </sheetData>
  <sheetProtection sheet="1" objects="1" scenarios="1"/>
  <phoneticPr fontId="2" type="noConversion"/>
  <dataValidations count="2">
    <dataValidation type="list" allowBlank="1" showInputMessage="1" showErrorMessage="1" sqref="D4:D28" xr:uid="{1E53A66A-BDF1-4846-A3E9-39E489F95875}">
      <formula1>ProductID</formula1>
    </dataValidation>
    <dataValidation type="list" allowBlank="1" showInputMessage="1" showErrorMessage="1" sqref="J4:J28" xr:uid="{CCD41ACB-C87A-4EA7-9AB9-EBA298CE5174}">
      <formula1>"Card,Cash,Online"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8D7A-2822-4510-8F2F-643DF9AE9AC5}">
  <dimension ref="B3:S26"/>
  <sheetViews>
    <sheetView zoomScale="84" zoomScaleNormal="84" workbookViewId="0">
      <selection activeCell="J12" sqref="J12"/>
    </sheetView>
  </sheetViews>
  <sheetFormatPr defaultRowHeight="15" x14ac:dyDescent="0.25"/>
  <cols>
    <col min="2" max="2" width="12.28515625" customWidth="1"/>
    <col min="3" max="3" width="25.140625" bestFit="1" customWidth="1"/>
    <col min="4" max="4" width="11.28515625" bestFit="1" customWidth="1"/>
    <col min="5" max="5" width="15.85546875" customWidth="1"/>
    <col min="6" max="6" width="14.85546875" customWidth="1"/>
    <col min="7" max="7" width="16.42578125" customWidth="1"/>
    <col min="8" max="8" width="15" customWidth="1"/>
    <col min="9" max="9" width="15.42578125" customWidth="1"/>
    <col min="10" max="10" width="13.7109375" customWidth="1"/>
    <col min="11" max="11" width="12.85546875" style="2" bestFit="1" customWidth="1"/>
    <col min="12" max="12" width="15" style="2" bestFit="1" customWidth="1"/>
    <col min="13" max="13" width="16.42578125" style="5" bestFit="1" customWidth="1"/>
    <col min="14" max="14" width="14" bestFit="1" customWidth="1"/>
    <col min="15" max="15" width="15.7109375" bestFit="1" customWidth="1"/>
  </cols>
  <sheetData>
    <row r="3" spans="2:15" x14ac:dyDescent="0.25">
      <c r="B3" t="s">
        <v>0</v>
      </c>
      <c r="C3" t="s">
        <v>1</v>
      </c>
      <c r="D3" t="s">
        <v>2</v>
      </c>
      <c r="E3" t="s">
        <v>6</v>
      </c>
      <c r="F3" t="s">
        <v>16</v>
      </c>
      <c r="G3" t="s">
        <v>17</v>
      </c>
      <c r="H3" t="s">
        <v>18</v>
      </c>
      <c r="I3" t="s">
        <v>7</v>
      </c>
      <c r="J3" t="s">
        <v>19</v>
      </c>
      <c r="K3" s="2" t="s">
        <v>4</v>
      </c>
      <c r="L3" s="2" t="s">
        <v>20</v>
      </c>
      <c r="M3" s="5" t="s">
        <v>3</v>
      </c>
      <c r="N3" t="s">
        <v>140</v>
      </c>
      <c r="O3" t="s">
        <v>141</v>
      </c>
    </row>
    <row r="4" spans="2:15" x14ac:dyDescent="0.25">
      <c r="B4" t="s">
        <v>21</v>
      </c>
      <c r="C4" t="str">
        <f>_xlfn.IFNA(INDEX(product_master_list[Product Name],MATCH(Table4[[#This Row],[Product ID]],product_master_list[Product ID],0)),"")</f>
        <v>Classic White T-Shirt</v>
      </c>
      <c r="D4" t="str">
        <f>_xlfn.IFNA(INDEX(product_master_list[Category],MATCH(Table4[[#This Row],[Product ID]],product_master_list[Product ID],0)),"")</f>
        <v>Tops</v>
      </c>
      <c r="E4">
        <f>_xlfn.IFNA(INDEX(product_master_list[Opening Stock],MATCH(Table4[[#This Row],[Product ID]],product_master_list[Product ID],0)),"")</f>
        <v>5</v>
      </c>
      <c r="F4">
        <f>SUMIFS(Table2[Quantity Received],Table2[Product ID],Table4[[#This Row],[Product ID]])</f>
        <v>52</v>
      </c>
      <c r="G4">
        <f>SUMIFS(Table3[Quantity],Table3[Product ID],Table4[[#This Row],[Product ID]])</f>
        <v>10</v>
      </c>
      <c r="H4">
        <f>Table4[[#This Row],[Opening Stock]]+(Table4[[#This Row],[Total Stock In]]-Table4[[#This Row],[Total Stock Out]])</f>
        <v>47</v>
      </c>
      <c r="I4">
        <f>_xlfn.IFNA(INDEX(product_master_list[Reorder Level],MATCH(Table4[[#This Row],[Product ID]],product_master_list[Product ID],0)),"")</f>
        <v>50</v>
      </c>
      <c r="J4" t="str">
        <f>IF(Table4[[#This Row],[Current Stock]]&lt;Table4[[#This Row],[Reorder Level]],"ORDER NOW",IF(Table4[[#This Row],[Current Stock]]=Table4[[#This Row],[Reorder Level]],"ALERT",IF(Table4[[#This Row],[Current Stock]]&gt;=Table4[[#This Row],[Reorder Level]],"OK")))</f>
        <v>ORDER NOW</v>
      </c>
      <c r="K4" s="2">
        <f>_xlfn.IFNA(INDEX(product_master_list[Unit Cost],MATCH(Table4[[#This Row],[Product ID]],product_master_list[Product ID],0)),"")</f>
        <v>10</v>
      </c>
      <c r="L4" s="2">
        <f>Table4[[#This Row],[Current Stock]]*Table4[[#This Row],[Unit Cost]]</f>
        <v>470</v>
      </c>
      <c r="M4" s="5" t="str">
        <f>INDEX(product_master_list[Supplier],MATCH(Table4[[#This Row],[Product ID]],product_master_list[Product ID],0))</f>
        <v>Clothing Inc.</v>
      </c>
      <c r="N4" s="4">
        <f t="array" ref="N4">_xlfn.IFNA(INDEX(Table2[Date],MATCH(MAX(IF(Table2[Product ID]=Table4[[#This Row],[Product ID]],Table2[Date])),Table2[Date],0)),"")</f>
        <v>46049</v>
      </c>
      <c r="O4" s="4">
        <f t="array" ref="O4">_xlfn.IFNA(INDEX(Table3[Date],MATCH(MAX(IF(Table3[Product ID]=Table4[[#This Row],[Product ID]],Table3[Date])),Table3[Date],0)),"")</f>
        <v>46049</v>
      </c>
    </row>
    <row r="5" spans="2:15" x14ac:dyDescent="0.25">
      <c r="B5" t="s">
        <v>24</v>
      </c>
      <c r="C5" t="str">
        <f>_xlfn.IFNA(INDEX(product_master_list[Product Name],MATCH(Table4[[#This Row],[Product ID]],product_master_list[Product ID],0)),"")</f>
        <v>High-Waist Black Jeans</v>
      </c>
      <c r="D5" t="str">
        <f>_xlfn.IFNA(INDEX(product_master_list[Category],MATCH(Table4[[#This Row],[Product ID]],product_master_list[Product ID],0)),"")</f>
        <v>Bottoms</v>
      </c>
      <c r="E5">
        <f>_xlfn.IFNA(INDEX(product_master_list[Opening Stock],MATCH(Table4[[#This Row],[Product ID]],product_master_list[Product ID],0)),"")</f>
        <v>5</v>
      </c>
      <c r="F5">
        <f>SUMIFS(Table2[Quantity Received],Table2[Product ID],Table4[[#This Row],[Product ID]])</f>
        <v>0</v>
      </c>
      <c r="G5">
        <f>SUMIFS(Table3[Quantity],Table3[Product ID],Table4[[#This Row],[Product ID]])</f>
        <v>0</v>
      </c>
      <c r="H5">
        <f>Table4[[#This Row],[Opening Stock]]+(Table4[[#This Row],[Total Stock In]]-Table4[[#This Row],[Total Stock Out]])</f>
        <v>5</v>
      </c>
      <c r="I5">
        <f>_xlfn.IFNA(INDEX(product_master_list[Reorder Level],MATCH(Table4[[#This Row],[Product ID]],product_master_list[Product ID],0)),"")</f>
        <v>15</v>
      </c>
      <c r="J5" t="str">
        <f>IF(Table4[[#This Row],[Current Stock]]&lt;Table4[[#This Row],[Reorder Level]],"ORDER NOW",IF(Table4[[#This Row],[Current Stock]]=Table4[[#This Row],[Reorder Level]],"ALERT",IF(Table4[[#This Row],[Current Stock]]&gt;=Table4[[#This Row],[Reorder Level]],"OK")))</f>
        <v>ORDER NOW</v>
      </c>
      <c r="K5" s="2">
        <f>_xlfn.IFNA(INDEX(product_master_list[Unit Cost],MATCH(Table4[[#This Row],[Product ID]],product_master_list[Product ID],0)),"")</f>
        <v>40</v>
      </c>
      <c r="L5" s="2">
        <f>Table4[[#This Row],[Current Stock]]*Table4[[#This Row],[Unit Cost]]</f>
        <v>200</v>
      </c>
      <c r="M5" s="5" t="str">
        <f>INDEX(product_master_list[Supplier],MATCH(Table4[[#This Row],[Product ID]],product_master_list[Product ID],0))</f>
        <v>Clothing Inc.</v>
      </c>
      <c r="N5" s="4" t="str">
        <f t="array" ref="N5">_xlfn.IFNA(INDEX(Table2[Date],MATCH(MAX(IF(Table2[Product ID]=Table4[[#This Row],[Product ID]],Table2[Date])),Table2[Date],0)),"")</f>
        <v/>
      </c>
      <c r="O5" s="4" t="str">
        <f t="array" ref="O5">_xlfn.IFNA(INDEX(Table3[Date],MATCH(MAX(IF(Table3[Product ID]=Table4[[#This Row],[Product ID]],Table3[Date])),Table3[Date],0)),"")</f>
        <v/>
      </c>
    </row>
    <row r="6" spans="2:15" x14ac:dyDescent="0.25">
      <c r="B6" t="s">
        <v>26</v>
      </c>
      <c r="C6" t="str">
        <f>_xlfn.IFNA(INDEX(product_master_list[Product Name],MATCH(Table4[[#This Row],[Product ID]],product_master_list[Product ID],0)),"")</f>
        <v>Long Sleeve Flannel Shirt</v>
      </c>
      <c r="D6" t="str">
        <f>_xlfn.IFNA(INDEX(product_master_list[Category],MATCH(Table4[[#This Row],[Product ID]],product_master_list[Product ID],0)),"")</f>
        <v>Tops</v>
      </c>
      <c r="E6">
        <f>_xlfn.IFNA(INDEX(product_master_list[Opening Stock],MATCH(Table4[[#This Row],[Product ID]],product_master_list[Product ID],0)),"")</f>
        <v>5</v>
      </c>
      <c r="F6">
        <f>SUMIFS(Table2[Quantity Received],Table2[Product ID],Table4[[#This Row],[Product ID]])</f>
        <v>10</v>
      </c>
      <c r="G6">
        <f>SUMIFS(Table3[Quantity],Table3[Product ID],Table4[[#This Row],[Product ID]])</f>
        <v>4</v>
      </c>
      <c r="H6">
        <f>Table4[[#This Row],[Opening Stock]]+(Table4[[#This Row],[Total Stock In]]-Table4[[#This Row],[Total Stock Out]])</f>
        <v>11</v>
      </c>
      <c r="I6">
        <f>_xlfn.IFNA(INDEX(product_master_list[Reorder Level],MATCH(Table4[[#This Row],[Product ID]],product_master_list[Product ID],0)),"")</f>
        <v>20</v>
      </c>
      <c r="J6" t="str">
        <f>IF(Table4[[#This Row],[Current Stock]]&lt;Table4[[#This Row],[Reorder Level]],"ORDER NOW",IF(Table4[[#This Row],[Current Stock]]=Table4[[#This Row],[Reorder Level]],"ALERT",IF(Table4[[#This Row],[Current Stock]]&gt;=Table4[[#This Row],[Reorder Level]],"OK")))</f>
        <v>ORDER NOW</v>
      </c>
      <c r="K6" s="2">
        <f>_xlfn.IFNA(INDEX(product_master_list[Unit Cost],MATCH(Table4[[#This Row],[Product ID]],product_master_list[Product ID],0)),"")</f>
        <v>10</v>
      </c>
      <c r="L6" s="2">
        <f>Table4[[#This Row],[Current Stock]]*Table4[[#This Row],[Unit Cost]]</f>
        <v>110</v>
      </c>
      <c r="M6" s="5" t="str">
        <f>INDEX(product_master_list[Supplier],MATCH(Table4[[#This Row],[Product ID]],product_master_list[Product ID],0))</f>
        <v>Denim Home Ltd.</v>
      </c>
      <c r="N6" s="4">
        <f t="array" ref="N6">_xlfn.IFNA(INDEX(Table2[Date],MATCH(MAX(IF(Table2[Product ID]=Table4[[#This Row],[Product ID]],Table2[Date])),Table2[Date],0)),"")</f>
        <v>46042</v>
      </c>
      <c r="O6" s="4">
        <f t="array" ref="O6">_xlfn.IFNA(INDEX(Table3[Date],MATCH(MAX(IF(Table3[Product ID]=Table4[[#This Row],[Product ID]],Table3[Date])),Table3[Date],0)),"")</f>
        <v>46043</v>
      </c>
    </row>
    <row r="7" spans="2:15" x14ac:dyDescent="0.25">
      <c r="B7" t="s">
        <v>30</v>
      </c>
      <c r="C7" t="str">
        <f>_xlfn.IFNA(INDEX(product_master_list[Product Name],MATCH(Table4[[#This Row],[Product ID]],product_master_list[Product ID],0)),"")</f>
        <v>Lightweight Bomber Jacket</v>
      </c>
      <c r="D7" t="str">
        <f>_xlfn.IFNA(INDEX(product_master_list[Category],MATCH(Table4[[#This Row],[Product ID]],product_master_list[Product ID],0)),"")</f>
        <v>Outerwear</v>
      </c>
      <c r="E7">
        <f>_xlfn.IFNA(INDEX(product_master_list[Opening Stock],MATCH(Table4[[#This Row],[Product ID]],product_master_list[Product ID],0)),"")</f>
        <v>5</v>
      </c>
      <c r="F7">
        <f>SUMIFS(Table2[Quantity Received],Table2[Product ID],Table4[[#This Row],[Product ID]])</f>
        <v>0</v>
      </c>
      <c r="G7">
        <f>SUMIFS(Table3[Quantity],Table3[Product ID],Table4[[#This Row],[Product ID]])</f>
        <v>0</v>
      </c>
      <c r="H7">
        <f>Table4[[#This Row],[Opening Stock]]+(Table4[[#This Row],[Total Stock In]]-Table4[[#This Row],[Total Stock Out]])</f>
        <v>5</v>
      </c>
      <c r="I7">
        <f>_xlfn.IFNA(INDEX(product_master_list[Reorder Level],MATCH(Table4[[#This Row],[Product ID]],product_master_list[Product ID],0)),"")</f>
        <v>15</v>
      </c>
      <c r="J7" t="str">
        <f>IF(Table4[[#This Row],[Current Stock]]&lt;Table4[[#This Row],[Reorder Level]],"ORDER NOW",IF(Table4[[#This Row],[Current Stock]]=Table4[[#This Row],[Reorder Level]],"ALERT",IF(Table4[[#This Row],[Current Stock]]&gt;=Table4[[#This Row],[Reorder Level]],"OK")))</f>
        <v>ORDER NOW</v>
      </c>
      <c r="K7" s="2">
        <f>_xlfn.IFNA(INDEX(product_master_list[Unit Cost],MATCH(Table4[[#This Row],[Product ID]],product_master_list[Product ID],0)),"")</f>
        <v>45</v>
      </c>
      <c r="L7" s="2">
        <f>Table4[[#This Row],[Current Stock]]*Table4[[#This Row],[Unit Cost]]</f>
        <v>225</v>
      </c>
      <c r="M7" s="5" t="str">
        <f>INDEX(product_master_list[Supplier],MATCH(Table4[[#This Row],[Product ID]],product_master_list[Product ID],0))</f>
        <v>Denim Home Ltd.</v>
      </c>
      <c r="N7" s="4" t="str">
        <f t="array" ref="N7">_xlfn.IFNA(INDEX(Table2[Date],MATCH(MAX(IF(Table2[Product ID]=Table4[[#This Row],[Product ID]],Table2[Date])),Table2[Date],0)),"")</f>
        <v/>
      </c>
      <c r="O7" s="4" t="str">
        <f t="array" ref="O7">_xlfn.IFNA(INDEX(Table3[Date],MATCH(MAX(IF(Table3[Product ID]=Table4[[#This Row],[Product ID]],Table3[Date])),Table3[Date],0)),"")</f>
        <v/>
      </c>
    </row>
    <row r="8" spans="2:15" x14ac:dyDescent="0.25">
      <c r="B8" t="s">
        <v>31</v>
      </c>
      <c r="C8" t="str">
        <f>_xlfn.IFNA(INDEX(product_master_list[Product Name],MATCH(Table4[[#This Row],[Product ID]],product_master_list[Product ID],0)),"")</f>
        <v>Leather Belt (Brown)</v>
      </c>
      <c r="D8" t="str">
        <f>_xlfn.IFNA(INDEX(product_master_list[Category],MATCH(Table4[[#This Row],[Product ID]],product_master_list[Product ID],0)),"")</f>
        <v>Accessories</v>
      </c>
      <c r="E8">
        <f>_xlfn.IFNA(INDEX(product_master_list[Opening Stock],MATCH(Table4[[#This Row],[Product ID]],product_master_list[Product ID],0)),"")</f>
        <v>5</v>
      </c>
      <c r="F8">
        <f>SUMIFS(Table2[Quantity Received],Table2[Product ID],Table4[[#This Row],[Product ID]])</f>
        <v>0</v>
      </c>
      <c r="G8">
        <f>SUMIFS(Table3[Quantity],Table3[Product ID],Table4[[#This Row],[Product ID]])</f>
        <v>0</v>
      </c>
      <c r="H8">
        <f>Table4[[#This Row],[Opening Stock]]+(Table4[[#This Row],[Total Stock In]]-Table4[[#This Row],[Total Stock Out]])</f>
        <v>5</v>
      </c>
      <c r="I8">
        <f>_xlfn.IFNA(INDEX(product_master_list[Reorder Level],MATCH(Table4[[#This Row],[Product ID]],product_master_list[Product ID],0)),"")</f>
        <v>9</v>
      </c>
      <c r="J8" t="str">
        <f>IF(Table4[[#This Row],[Current Stock]]&lt;Table4[[#This Row],[Reorder Level]],"ORDER NOW",IF(Table4[[#This Row],[Current Stock]]=Table4[[#This Row],[Reorder Level]],"ALERT",IF(Table4[[#This Row],[Current Stock]]&gt;=Table4[[#This Row],[Reorder Level]],"OK")))</f>
        <v>ORDER NOW</v>
      </c>
      <c r="K8" s="2">
        <f>_xlfn.IFNA(INDEX(product_master_list[Unit Cost],MATCH(Table4[[#This Row],[Product ID]],product_master_list[Product ID],0)),"")</f>
        <v>12</v>
      </c>
      <c r="L8" s="2">
        <f>Table4[[#This Row],[Current Stock]]*Table4[[#This Row],[Unit Cost]]</f>
        <v>60</v>
      </c>
      <c r="M8" s="5" t="str">
        <f>INDEX(product_master_list[Supplier],MATCH(Table4[[#This Row],[Product ID]],product_master_list[Product ID],0))</f>
        <v>Chic und More</v>
      </c>
      <c r="N8" s="4" t="str">
        <f t="array" ref="N8">_xlfn.IFNA(INDEX(Table2[Date],MATCH(MAX(IF(Table2[Product ID]=Table4[[#This Row],[Product ID]],Table2[Date])),Table2[Date],0)),"")</f>
        <v/>
      </c>
      <c r="O8" s="4" t="str">
        <f t="array" ref="O8">_xlfn.IFNA(INDEX(Table3[Date],MATCH(MAX(IF(Table3[Product ID]=Table4[[#This Row],[Product ID]],Table3[Date])),Table3[Date],0)),"")</f>
        <v/>
      </c>
    </row>
    <row r="9" spans="2:15" x14ac:dyDescent="0.25">
      <c r="B9" t="s">
        <v>32</v>
      </c>
      <c r="C9" t="str">
        <f>_xlfn.IFNA(INDEX(product_master_list[Product Name],MATCH(Table4[[#This Row],[Product ID]],product_master_list[Product ID],0)),"")</f>
        <v>Leather Belt (Black)</v>
      </c>
      <c r="D9" t="str">
        <f>_xlfn.IFNA(INDEX(product_master_list[Category],MATCH(Table4[[#This Row],[Product ID]],product_master_list[Product ID],0)),"")</f>
        <v>Accessories</v>
      </c>
      <c r="E9">
        <f>_xlfn.IFNA(INDEX(product_master_list[Opening Stock],MATCH(Table4[[#This Row],[Product ID]],product_master_list[Product ID],0)),"")</f>
        <v>5</v>
      </c>
      <c r="F9">
        <f>SUMIFS(Table2[Quantity Received],Table2[Product ID],Table4[[#This Row],[Product ID]])</f>
        <v>0</v>
      </c>
      <c r="G9">
        <f>SUMIFS(Table3[Quantity],Table3[Product ID],Table4[[#This Row],[Product ID]])</f>
        <v>0</v>
      </c>
      <c r="H9">
        <f>Table4[[#This Row],[Opening Stock]]+(Table4[[#This Row],[Total Stock In]]-Table4[[#This Row],[Total Stock Out]])</f>
        <v>5</v>
      </c>
      <c r="I9">
        <f>_xlfn.IFNA(INDEX(product_master_list[Reorder Level],MATCH(Table4[[#This Row],[Product ID]],product_master_list[Product ID],0)),"")</f>
        <v>9</v>
      </c>
      <c r="J9" t="str">
        <f>IF(Table4[[#This Row],[Current Stock]]&lt;Table4[[#This Row],[Reorder Level]],"ORDER NOW",IF(Table4[[#This Row],[Current Stock]]=Table4[[#This Row],[Reorder Level]],"ALERT",IF(Table4[[#This Row],[Current Stock]]&gt;=Table4[[#This Row],[Reorder Level]],"OK")))</f>
        <v>ORDER NOW</v>
      </c>
      <c r="K9" s="2">
        <f>_xlfn.IFNA(INDEX(product_master_list[Unit Cost],MATCH(Table4[[#This Row],[Product ID]],product_master_list[Product ID],0)),"")</f>
        <v>12</v>
      </c>
      <c r="L9" s="2">
        <f>Table4[[#This Row],[Current Stock]]*Table4[[#This Row],[Unit Cost]]</f>
        <v>60</v>
      </c>
      <c r="M9" s="5" t="str">
        <f>INDEX(product_master_list[Supplier],MATCH(Table4[[#This Row],[Product ID]],product_master_list[Product ID],0))</f>
        <v>Chic und More</v>
      </c>
      <c r="N9" s="4" t="str">
        <f t="array" ref="N9">_xlfn.IFNA(INDEX(Table2[Date],MATCH(MAX(IF(Table2[Product ID]=Table4[[#This Row],[Product ID]],Table2[Date])),Table2[Date],0)),"")</f>
        <v/>
      </c>
      <c r="O9" s="4" t="str">
        <f t="array" ref="O9">_xlfn.IFNA(INDEX(Table3[Date],MATCH(MAX(IF(Table3[Product ID]=Table4[[#This Row],[Product ID]],Table3[Date])),Table3[Date],0)),"")</f>
        <v/>
      </c>
    </row>
    <row r="10" spans="2:15" x14ac:dyDescent="0.25">
      <c r="B10" t="s">
        <v>35</v>
      </c>
      <c r="C10" t="str">
        <f>_xlfn.IFNA(INDEX(product_master_list[Product Name],MATCH(Table4[[#This Row],[Product ID]],product_master_list[Product ID],0)),"")</f>
        <v>Baseball Cap</v>
      </c>
      <c r="D10" t="str">
        <f>_xlfn.IFNA(INDEX(product_master_list[Category],MATCH(Table4[[#This Row],[Product ID]],product_master_list[Product ID],0)),"")</f>
        <v>Accessories</v>
      </c>
      <c r="E10">
        <f>_xlfn.IFNA(INDEX(product_master_list[Opening Stock],MATCH(Table4[[#This Row],[Product ID]],product_master_list[Product ID],0)),"")</f>
        <v>5</v>
      </c>
      <c r="F10">
        <f>SUMIFS(Table2[Quantity Received],Table2[Product ID],Table4[[#This Row],[Product ID]])</f>
        <v>10</v>
      </c>
      <c r="G10">
        <f>SUMIFS(Table3[Quantity],Table3[Product ID],Table4[[#This Row],[Product ID]])</f>
        <v>7</v>
      </c>
      <c r="H10">
        <f>Table4[[#This Row],[Opening Stock]]+(Table4[[#This Row],[Total Stock In]]-Table4[[#This Row],[Total Stock Out]])</f>
        <v>8</v>
      </c>
      <c r="I10">
        <f>_xlfn.IFNA(INDEX(product_master_list[Reorder Level],MATCH(Table4[[#This Row],[Product ID]],product_master_list[Product ID],0)),"")</f>
        <v>9</v>
      </c>
      <c r="J10" t="str">
        <f>IF(Table4[[#This Row],[Current Stock]]&lt;Table4[[#This Row],[Reorder Level]],"ORDER NOW",IF(Table4[[#This Row],[Current Stock]]=Table4[[#This Row],[Reorder Level]],"ALERT",IF(Table4[[#This Row],[Current Stock]]&gt;=Table4[[#This Row],[Reorder Level]],"OK")))</f>
        <v>ORDER NOW</v>
      </c>
      <c r="K10" s="2">
        <f>_xlfn.IFNA(INDEX(product_master_list[Unit Cost],MATCH(Table4[[#This Row],[Product ID]],product_master_list[Product ID],0)),"")</f>
        <v>35</v>
      </c>
      <c r="L10" s="2">
        <f>Table4[[#This Row],[Current Stock]]*Table4[[#This Row],[Unit Cost]]</f>
        <v>280</v>
      </c>
      <c r="M10" s="5" t="str">
        <f>INDEX(product_master_list[Supplier],MATCH(Table4[[#This Row],[Product ID]],product_master_list[Product ID],0))</f>
        <v>Chic und More</v>
      </c>
      <c r="N10" s="4">
        <f t="array" ref="N10">_xlfn.IFNA(INDEX(Table2[Date],MATCH(MAX(IF(Table2[Product ID]=Table4[[#This Row],[Product ID]],Table2[Date])),Table2[Date],0)),"")</f>
        <v>46047</v>
      </c>
      <c r="O10" s="4">
        <f t="array" ref="O10">_xlfn.IFNA(INDEX(Table3[Date],MATCH(MAX(IF(Table3[Product ID]=Table4[[#This Row],[Product ID]],Table3[Date])),Table3[Date],0)),"")</f>
        <v>46025</v>
      </c>
    </row>
    <row r="11" spans="2:15" x14ac:dyDescent="0.25">
      <c r="B11" t="s">
        <v>36</v>
      </c>
      <c r="C11" t="str">
        <f>_xlfn.IFNA(INDEX(product_master_list[Product Name],MATCH(Table4[[#This Row],[Product ID]],product_master_list[Product ID],0)),"")</f>
        <v>Canvas Tote Bag</v>
      </c>
      <c r="D11" t="str">
        <f>_xlfn.IFNA(INDEX(product_master_list[Category],MATCH(Table4[[#This Row],[Product ID]],product_master_list[Product ID],0)),"")</f>
        <v>Bags</v>
      </c>
      <c r="E11">
        <f>_xlfn.IFNA(INDEX(product_master_list[Opening Stock],MATCH(Table4[[#This Row],[Product ID]],product_master_list[Product ID],0)),"")</f>
        <v>5</v>
      </c>
      <c r="F11">
        <f>SUMIFS(Table2[Quantity Received],Table2[Product ID],Table4[[#This Row],[Product ID]])</f>
        <v>3</v>
      </c>
      <c r="G11">
        <f>SUMIFS(Table3[Quantity],Table3[Product ID],Table4[[#This Row],[Product ID]])</f>
        <v>5</v>
      </c>
      <c r="H11">
        <f>Table4[[#This Row],[Opening Stock]]+(Table4[[#This Row],[Total Stock In]]-Table4[[#This Row],[Total Stock Out]])</f>
        <v>3</v>
      </c>
      <c r="I11">
        <f>_xlfn.IFNA(INDEX(product_master_list[Reorder Level],MATCH(Table4[[#This Row],[Product ID]],product_master_list[Product ID],0)),"")</f>
        <v>4</v>
      </c>
      <c r="J11" t="str">
        <f>IF(Table4[[#This Row],[Current Stock]]&lt;Table4[[#This Row],[Reorder Level]],"ORDER NOW",IF(Table4[[#This Row],[Current Stock]]=Table4[[#This Row],[Reorder Level]],"ALERT",IF(Table4[[#This Row],[Current Stock]]&gt;=Table4[[#This Row],[Reorder Level]],"OK")))</f>
        <v>ORDER NOW</v>
      </c>
      <c r="K11" s="2">
        <f>_xlfn.IFNA(INDEX(product_master_list[Unit Cost],MATCH(Table4[[#This Row],[Product ID]],product_master_list[Product ID],0)),"")</f>
        <v>28</v>
      </c>
      <c r="L11" s="2">
        <f>Table4[[#This Row],[Current Stock]]*Table4[[#This Row],[Unit Cost]]</f>
        <v>84</v>
      </c>
      <c r="M11" s="5" t="str">
        <f>INDEX(product_master_list[Supplier],MATCH(Table4[[#This Row],[Product ID]],product_master_list[Product ID],0))</f>
        <v>Chic und More</v>
      </c>
      <c r="N11" s="4">
        <f t="array" ref="N11">_xlfn.IFNA(INDEX(Table2[Date],MATCH(MAX(IF(Table2[Product ID]=Table4[[#This Row],[Product ID]],Table2[Date])),Table2[Date],0)),"")</f>
        <v>46043</v>
      </c>
      <c r="O11" s="4">
        <f t="array" ref="O11">_xlfn.IFNA(INDEX(Table3[Date],MATCH(MAX(IF(Table3[Product ID]=Table4[[#This Row],[Product ID]],Table3[Date])),Table3[Date],0)),"")</f>
        <v>46048</v>
      </c>
    </row>
    <row r="12" spans="2:15" x14ac:dyDescent="0.25">
      <c r="B12" t="s">
        <v>39</v>
      </c>
      <c r="C12" t="str">
        <f>_xlfn.IFNA(INDEX(product_master_list[Product Name],MATCH(Table4[[#This Row],[Product ID]],product_master_list[Product ID],0)),"")</f>
        <v>Women's Flat Sansals</v>
      </c>
      <c r="D12" t="str">
        <f>_xlfn.IFNA(INDEX(product_master_list[Category],MATCH(Table4[[#This Row],[Product ID]],product_master_list[Product ID],0)),"")</f>
        <v>Footwear</v>
      </c>
      <c r="E12">
        <f>_xlfn.IFNA(INDEX(product_master_list[Opening Stock],MATCH(Table4[[#This Row],[Product ID]],product_master_list[Product ID],0)),"")</f>
        <v>5</v>
      </c>
      <c r="F12">
        <f>SUMIFS(Table2[Quantity Received],Table2[Product ID],Table4[[#This Row],[Product ID]])</f>
        <v>10</v>
      </c>
      <c r="G12">
        <f>SUMIFS(Table3[Quantity],Table3[Product ID],Table4[[#This Row],[Product ID]])</f>
        <v>10</v>
      </c>
      <c r="H12">
        <f>Table4[[#This Row],[Opening Stock]]+(Table4[[#This Row],[Total Stock In]]-Table4[[#This Row],[Total Stock Out]])</f>
        <v>5</v>
      </c>
      <c r="I12">
        <f>_xlfn.IFNA(INDEX(product_master_list[Reorder Level],MATCH(Table4[[#This Row],[Product ID]],product_master_list[Product ID],0)),"")</f>
        <v>6</v>
      </c>
      <c r="J12" t="str">
        <f>IF(Table4[[#This Row],[Current Stock]]&lt;Table4[[#This Row],[Reorder Level]],"ORDER NOW",IF(Table4[[#This Row],[Current Stock]]=Table4[[#This Row],[Reorder Level]],"ALERT",IF(Table4[[#This Row],[Current Stock]]&gt;=Table4[[#This Row],[Reorder Level]],"OK")))</f>
        <v>ORDER NOW</v>
      </c>
      <c r="K12" s="2">
        <f>_xlfn.IFNA(INDEX(product_master_list[Unit Cost],MATCH(Table4[[#This Row],[Product ID]],product_master_list[Product ID],0)),"")</f>
        <v>140</v>
      </c>
      <c r="L12" s="2">
        <f>Table4[[#This Row],[Current Stock]]*Table4[[#This Row],[Unit Cost]]</f>
        <v>700</v>
      </c>
      <c r="M12" s="5" t="str">
        <f>INDEX(product_master_list[Supplier],MATCH(Table4[[#This Row],[Product ID]],product_master_list[Product ID],0))</f>
        <v>Happy Steps Ltd.</v>
      </c>
      <c r="N12" s="4">
        <f t="array" ref="N12">_xlfn.IFNA(INDEX(Table2[Date],MATCH(MAX(IF(Table2[Product ID]=Table4[[#This Row],[Product ID]],Table2[Date])),Table2[Date],0)),"")</f>
        <v>46031</v>
      </c>
      <c r="O12" s="4">
        <f t="array" ref="O12">_xlfn.IFNA(INDEX(Table3[Date],MATCH(MAX(IF(Table3[Product ID]=Table4[[#This Row],[Product ID]],Table3[Date])),Table3[Date],0)),"")</f>
        <v>46048</v>
      </c>
    </row>
    <row r="13" spans="2:15" x14ac:dyDescent="0.25">
      <c r="B13" t="s">
        <v>40</v>
      </c>
      <c r="C13" t="str">
        <f>_xlfn.IFNA(INDEX(product_master_list[Product Name],MATCH(Table4[[#This Row],[Product ID]],product_master_list[Product ID],0)),"")</f>
        <v>Men's Leather Slippers</v>
      </c>
      <c r="D13" t="str">
        <f>_xlfn.IFNA(INDEX(product_master_list[Category],MATCH(Table4[[#This Row],[Product ID]],product_master_list[Product ID],0)),"")</f>
        <v>Footwear</v>
      </c>
      <c r="E13">
        <f>_xlfn.IFNA(INDEX(product_master_list[Opening Stock],MATCH(Table4[[#This Row],[Product ID]],product_master_list[Product ID],0)),"")</f>
        <v>5</v>
      </c>
      <c r="F13">
        <f>SUMIFS(Table2[Quantity Received],Table2[Product ID],Table4[[#This Row],[Product ID]])</f>
        <v>20</v>
      </c>
      <c r="G13">
        <f>SUMIFS(Table3[Quantity],Table3[Product ID],Table4[[#This Row],[Product ID]])</f>
        <v>23</v>
      </c>
      <c r="H13">
        <f>Table4[[#This Row],[Opening Stock]]+(Table4[[#This Row],[Total Stock In]]-Table4[[#This Row],[Total Stock Out]])</f>
        <v>2</v>
      </c>
      <c r="I13">
        <f>_xlfn.IFNA(INDEX(product_master_list[Reorder Level],MATCH(Table4[[#This Row],[Product ID]],product_master_list[Product ID],0)),"")</f>
        <v>6</v>
      </c>
      <c r="J13" t="str">
        <f>IF(Table4[[#This Row],[Current Stock]]&lt;Table4[[#This Row],[Reorder Level]],"ORDER NOW",IF(Table4[[#This Row],[Current Stock]]=Table4[[#This Row],[Reorder Level]],"ALERT",IF(Table4[[#This Row],[Current Stock]]&gt;=Table4[[#This Row],[Reorder Level]],"OK")))</f>
        <v>ORDER NOW</v>
      </c>
      <c r="K13" s="2">
        <f>_xlfn.IFNA(INDEX(product_master_list[Unit Cost],MATCH(Table4[[#This Row],[Product ID]],product_master_list[Product ID],0)),"")</f>
        <v>156</v>
      </c>
      <c r="L13" s="2">
        <f>Table4[[#This Row],[Current Stock]]*Table4[[#This Row],[Unit Cost]]</f>
        <v>312</v>
      </c>
      <c r="M13" s="5" t="str">
        <f>INDEX(product_master_list[Supplier],MATCH(Table4[[#This Row],[Product ID]],product_master_list[Product ID],0))</f>
        <v>Happy Steps Ltd.</v>
      </c>
      <c r="N13" s="4">
        <f t="array" ref="N13">_xlfn.IFNA(INDEX(Table2[Date],MATCH(MAX(IF(Table2[Product ID]=Table4[[#This Row],[Product ID]],Table2[Date])),Table2[Date],0)),"")</f>
        <v>46025</v>
      </c>
      <c r="O13" s="4">
        <f t="array" ref="O13">_xlfn.IFNA(INDEX(Table3[Date],MATCH(MAX(IF(Table3[Product ID]=Table4[[#This Row],[Product ID]],Table3[Date])),Table3[Date],0)),"")</f>
        <v>46042</v>
      </c>
    </row>
    <row r="14" spans="2:15" x14ac:dyDescent="0.25">
      <c r="B14" t="s">
        <v>41</v>
      </c>
      <c r="C14" t="str">
        <f>_xlfn.IFNA(INDEX(product_master_list[Product Name],MATCH(Table4[[#This Row],[Product ID]],product_master_list[Product ID],0)),"")</f>
        <v>Silver Chain Necklace</v>
      </c>
      <c r="D14" t="str">
        <f>_xlfn.IFNA(INDEX(product_master_list[Category],MATCH(Table4[[#This Row],[Product ID]],product_master_list[Product ID],0)),"")</f>
        <v>Accessories</v>
      </c>
      <c r="E14">
        <f>_xlfn.IFNA(INDEX(product_master_list[Opening Stock],MATCH(Table4[[#This Row],[Product ID]],product_master_list[Product ID],0)),"")</f>
        <v>5</v>
      </c>
      <c r="F14">
        <f>SUMIFS(Table2[Quantity Received],Table2[Product ID],Table4[[#This Row],[Product ID]])</f>
        <v>0</v>
      </c>
      <c r="G14">
        <f>SUMIFS(Table3[Quantity],Table3[Product ID],Table4[[#This Row],[Product ID]])</f>
        <v>0</v>
      </c>
      <c r="H14">
        <f>Table4[[#This Row],[Opening Stock]]+(Table4[[#This Row],[Total Stock In]]-Table4[[#This Row],[Total Stock Out]])</f>
        <v>5</v>
      </c>
      <c r="I14">
        <f>_xlfn.IFNA(INDEX(product_master_list[Reorder Level],MATCH(Table4[[#This Row],[Product ID]],product_master_list[Product ID],0)),"")</f>
        <v>9</v>
      </c>
      <c r="J14" t="str">
        <f>IF(Table4[[#This Row],[Current Stock]]&lt;Table4[[#This Row],[Reorder Level]],"ORDER NOW",IF(Table4[[#This Row],[Current Stock]]=Table4[[#This Row],[Reorder Level]],"ALERT",IF(Table4[[#This Row],[Current Stock]]&gt;=Table4[[#This Row],[Reorder Level]],"OK")))</f>
        <v>ORDER NOW</v>
      </c>
      <c r="K14" s="2">
        <f>_xlfn.IFNA(INDEX(product_master_list[Unit Cost],MATCH(Table4[[#This Row],[Product ID]],product_master_list[Product ID],0)),"")</f>
        <v>39.99</v>
      </c>
      <c r="L14" s="2">
        <f>Table4[[#This Row],[Current Stock]]*Table4[[#This Row],[Unit Cost]]</f>
        <v>199.95000000000002</v>
      </c>
      <c r="M14" s="5" t="str">
        <f>INDEX(product_master_list[Supplier],MATCH(Table4[[#This Row],[Product ID]],product_master_list[Product ID],0))</f>
        <v>Chic und More</v>
      </c>
      <c r="N14" s="4" t="str">
        <f t="array" ref="N14">_xlfn.IFNA(INDEX(Table2[Date],MATCH(MAX(IF(Table2[Product ID]=Table4[[#This Row],[Product ID]],Table2[Date])),Table2[Date],0)),"")</f>
        <v/>
      </c>
      <c r="O14" s="4" t="str">
        <f t="array" ref="O14">_xlfn.IFNA(INDEX(Table3[Date],MATCH(MAX(IF(Table3[Product ID]=Table4[[#This Row],[Product ID]],Table3[Date])),Table3[Date],0)),"")</f>
        <v/>
      </c>
    </row>
    <row r="15" spans="2:15" x14ac:dyDescent="0.25">
      <c r="B15" t="s">
        <v>42</v>
      </c>
      <c r="C15" t="str">
        <f>_xlfn.IFNA(INDEX(product_master_list[Product Name],MATCH(Table4[[#This Row],[Product ID]],product_master_list[Product ID],0)),"")</f>
        <v>Stud Earrings</v>
      </c>
      <c r="D15" t="str">
        <f>_xlfn.IFNA(INDEX(product_master_list[Category],MATCH(Table4[[#This Row],[Product ID]],product_master_list[Product ID],0)),"")</f>
        <v>Accessories</v>
      </c>
      <c r="E15">
        <f>_xlfn.IFNA(INDEX(product_master_list[Opening Stock],MATCH(Table4[[#This Row],[Product ID]],product_master_list[Product ID],0)),"")</f>
        <v>5</v>
      </c>
      <c r="F15">
        <f>SUMIFS(Table2[Quantity Received],Table2[Product ID],Table4[[#This Row],[Product ID]])</f>
        <v>50</v>
      </c>
      <c r="G15">
        <f>SUMIFS(Table3[Quantity],Table3[Product ID],Table4[[#This Row],[Product ID]])</f>
        <v>4</v>
      </c>
      <c r="H15">
        <f>Table4[[#This Row],[Opening Stock]]+(Table4[[#This Row],[Total Stock In]]-Table4[[#This Row],[Total Stock Out]])</f>
        <v>51</v>
      </c>
      <c r="I15">
        <f>_xlfn.IFNA(INDEX(product_master_list[Reorder Level],MATCH(Table4[[#This Row],[Product ID]],product_master_list[Product ID],0)),"")</f>
        <v>60</v>
      </c>
      <c r="J15" t="str">
        <f>IF(Table4[[#This Row],[Current Stock]]&lt;Table4[[#This Row],[Reorder Level]],"ORDER NOW",IF(Table4[[#This Row],[Current Stock]]=Table4[[#This Row],[Reorder Level]],"ALERT",IF(Table4[[#This Row],[Current Stock]]&gt;=Table4[[#This Row],[Reorder Level]],"OK")))</f>
        <v>ORDER NOW</v>
      </c>
      <c r="K15" s="2">
        <f>_xlfn.IFNA(INDEX(product_master_list[Unit Cost],MATCH(Table4[[#This Row],[Product ID]],product_master_list[Product ID],0)),"")</f>
        <v>20</v>
      </c>
      <c r="L15" s="2">
        <f>Table4[[#This Row],[Current Stock]]*Table4[[#This Row],[Unit Cost]]</f>
        <v>1020</v>
      </c>
      <c r="M15" s="5" t="str">
        <f>INDEX(product_master_list[Supplier],MATCH(Table4[[#This Row],[Product ID]],product_master_list[Product ID],0))</f>
        <v>Chic und More</v>
      </c>
      <c r="N15" s="4">
        <f t="array" ref="N15">_xlfn.IFNA(INDEX(Table2[Date],MATCH(MAX(IF(Table2[Product ID]=Table4[[#This Row],[Product ID]],Table2[Date])),Table2[Date],0)),"")</f>
        <v>46027</v>
      </c>
      <c r="O15" s="4">
        <f t="array" ref="O15">_xlfn.IFNA(INDEX(Table3[Date],MATCH(MAX(IF(Table3[Product ID]=Table4[[#This Row],[Product ID]],Table3[Date])),Table3[Date],0)),"")</f>
        <v>46037</v>
      </c>
    </row>
    <row r="16" spans="2:15" x14ac:dyDescent="0.25">
      <c r="B16" t="s">
        <v>22</v>
      </c>
      <c r="C16" t="str">
        <f>_xlfn.IFNA(INDEX(product_master_list[Product Name],MATCH(Table4[[#This Row],[Product ID]],product_master_list[Product ID],0)),"")</f>
        <v>Graphic Cotton T-Shirt</v>
      </c>
      <c r="D16" t="str">
        <f>_xlfn.IFNA(INDEX(product_master_list[Category],MATCH(Table4[[#This Row],[Product ID]],product_master_list[Product ID],0)),"")</f>
        <v>Tops</v>
      </c>
      <c r="E16">
        <f>_xlfn.IFNA(INDEX(product_master_list[Opening Stock],MATCH(Table4[[#This Row],[Product ID]],product_master_list[Product ID],0)),"")</f>
        <v>5</v>
      </c>
      <c r="F16">
        <f>SUMIFS(Table2[Quantity Received],Table2[Product ID],Table4[[#This Row],[Product ID]])</f>
        <v>42</v>
      </c>
      <c r="G16">
        <f>SUMIFS(Table3[Quantity],Table3[Product ID],Table4[[#This Row],[Product ID]])</f>
        <v>5</v>
      </c>
      <c r="H16">
        <f>Table4[[#This Row],[Opening Stock]]+(Table4[[#This Row],[Total Stock In]]-Table4[[#This Row],[Total Stock Out]])</f>
        <v>42</v>
      </c>
      <c r="I16">
        <f>_xlfn.IFNA(INDEX(product_master_list[Reorder Level],MATCH(Table4[[#This Row],[Product ID]],product_master_list[Product ID],0)),"")</f>
        <v>42</v>
      </c>
      <c r="J16" t="str">
        <f>IF(Table4[[#This Row],[Current Stock]]&lt;Table4[[#This Row],[Reorder Level]],"ORDER NOW",IF(Table4[[#This Row],[Current Stock]]=Table4[[#This Row],[Reorder Level]],"ALERT",IF(Table4[[#This Row],[Current Stock]]&gt;=Table4[[#This Row],[Reorder Level]],"OK")))</f>
        <v>ALERT</v>
      </c>
      <c r="K16" s="2">
        <f>_xlfn.IFNA(INDEX(product_master_list[Unit Cost],MATCH(Table4[[#This Row],[Product ID]],product_master_list[Product ID],0)),"")</f>
        <v>15</v>
      </c>
      <c r="L16" s="2">
        <f>Table4[[#This Row],[Current Stock]]*Table4[[#This Row],[Unit Cost]]</f>
        <v>630</v>
      </c>
      <c r="M16" s="5" t="str">
        <f>INDEX(product_master_list[Supplier],MATCH(Table4[[#This Row],[Product ID]],product_master_list[Product ID],0))</f>
        <v>Clothing Inc.</v>
      </c>
      <c r="N16" s="4">
        <f t="array" ref="N16">_xlfn.IFNA(INDEX(Table2[Date],MATCH(MAX(IF(Table2[Product ID]=Table4[[#This Row],[Product ID]],Table2[Date])),Table2[Date],0)),"")</f>
        <v>46037</v>
      </c>
      <c r="O16" s="4">
        <f t="array" ref="O16">_xlfn.IFNA(INDEX(Table3[Date],MATCH(MAX(IF(Table3[Product ID]=Table4[[#This Row],[Product ID]],Table3[Date])),Table3[Date],0)),"")</f>
        <v>46024</v>
      </c>
    </row>
    <row r="17" spans="2:19" x14ac:dyDescent="0.25">
      <c r="B17" t="s">
        <v>43</v>
      </c>
      <c r="C17" t="str">
        <f>_xlfn.IFNA(INDEX(product_master_list[Product Name],MATCH(Table4[[#This Row],[Product ID]],product_master_list[Product ID],0)),"")</f>
        <v>Cotton Face Cap</v>
      </c>
      <c r="D17" t="str">
        <f>_xlfn.IFNA(INDEX(product_master_list[Category],MATCH(Table4[[#This Row],[Product ID]],product_master_list[Product ID],0)),"")</f>
        <v>Accessories</v>
      </c>
      <c r="E17">
        <f>_xlfn.IFNA(INDEX(product_master_list[Opening Stock],MATCH(Table4[[#This Row],[Product ID]],product_master_list[Product ID],0)),"")</f>
        <v>5</v>
      </c>
      <c r="F17">
        <f>SUMIFS(Table2[Quantity Received],Table2[Product ID],Table4[[#This Row],[Product ID]])</f>
        <v>2</v>
      </c>
      <c r="G17">
        <f>SUMIFS(Table3[Quantity],Table3[Product ID],Table4[[#This Row],[Product ID]])</f>
        <v>5</v>
      </c>
      <c r="H17">
        <f>Table4[[#This Row],[Opening Stock]]+(Table4[[#This Row],[Total Stock In]]-Table4[[#This Row],[Total Stock Out]])</f>
        <v>2</v>
      </c>
      <c r="I17">
        <f>_xlfn.IFNA(INDEX(product_master_list[Reorder Level],MATCH(Table4[[#This Row],[Product ID]],product_master_list[Product ID],0)),"")</f>
        <v>2</v>
      </c>
      <c r="J17" t="str">
        <f>IF(Table4[[#This Row],[Current Stock]]&lt;Table4[[#This Row],[Reorder Level]],"ORDER NOW",IF(Table4[[#This Row],[Current Stock]]=Table4[[#This Row],[Reorder Level]],"ALERT",IF(Table4[[#This Row],[Current Stock]]&gt;=Table4[[#This Row],[Reorder Level]],"OK")))</f>
        <v>ALERT</v>
      </c>
      <c r="K17" s="2">
        <f>_xlfn.IFNA(INDEX(product_master_list[Unit Cost],MATCH(Table4[[#This Row],[Product ID]],product_master_list[Product ID],0)),"")</f>
        <v>35</v>
      </c>
      <c r="L17" s="2">
        <f>Table4[[#This Row],[Current Stock]]*Table4[[#This Row],[Unit Cost]]</f>
        <v>70</v>
      </c>
      <c r="M17" s="5" t="str">
        <f>INDEX(product_master_list[Supplier],MATCH(Table4[[#This Row],[Product ID]],product_master_list[Product ID],0))</f>
        <v>Chic und More</v>
      </c>
      <c r="N17" s="4">
        <f t="array" ref="N17">_xlfn.IFNA(INDEX(Table2[Date],MATCH(MAX(IF(Table2[Product ID]=Table4[[#This Row],[Product ID]],Table2[Date])),Table2[Date],0)),"")</f>
        <v>46026</v>
      </c>
      <c r="O17" s="4">
        <f t="array" ref="O17">_xlfn.IFNA(INDEX(Table3[Date],MATCH(MAX(IF(Table3[Product ID]=Table4[[#This Row],[Product ID]],Table3[Date])),Table3[Date],0)),"")</f>
        <v>46048</v>
      </c>
      <c r="S17" s="1"/>
    </row>
    <row r="18" spans="2:19" x14ac:dyDescent="0.25">
      <c r="B18" t="s">
        <v>34</v>
      </c>
      <c r="C18" t="str">
        <f>_xlfn.IFNA(INDEX(product_master_list[Product Name],MATCH(Table4[[#This Row],[Product ID]],product_master_list[Product ID],0)),"")</f>
        <v>Sunglasses</v>
      </c>
      <c r="D18" t="str">
        <f>_xlfn.IFNA(INDEX(product_master_list[Category],MATCH(Table4[[#This Row],[Product ID]],product_master_list[Product ID],0)),"")</f>
        <v>Accessories</v>
      </c>
      <c r="E18">
        <f>_xlfn.IFNA(INDEX(product_master_list[Opening Stock],MATCH(Table4[[#This Row],[Product ID]],product_master_list[Product ID],0)),"")</f>
        <v>5</v>
      </c>
      <c r="F18">
        <f>SUMIFS(Table2[Quantity Received],Table2[Product ID],Table4[[#This Row],[Product ID]])</f>
        <v>53</v>
      </c>
      <c r="G18">
        <f>SUMIFS(Table3[Quantity],Table3[Product ID],Table4[[#This Row],[Product ID]])</f>
        <v>8</v>
      </c>
      <c r="H18">
        <f>Table4[[#This Row],[Opening Stock]]+(Table4[[#This Row],[Total Stock In]]-Table4[[#This Row],[Total Stock Out]])</f>
        <v>50</v>
      </c>
      <c r="I18">
        <f>_xlfn.IFNA(INDEX(product_master_list[Reorder Level],MATCH(Table4[[#This Row],[Product ID]],product_master_list[Product ID],0)),"")</f>
        <v>9</v>
      </c>
      <c r="J18" t="str">
        <f>IF(Table4[[#This Row],[Current Stock]]&lt;Table4[[#This Row],[Reorder Level]],"ORDER NOW",IF(Table4[[#This Row],[Current Stock]]=Table4[[#This Row],[Reorder Level]],"ALERT",IF(Table4[[#This Row],[Current Stock]]&gt;=Table4[[#This Row],[Reorder Level]],"OK")))</f>
        <v>OK</v>
      </c>
      <c r="K18" s="2">
        <f>_xlfn.IFNA(INDEX(product_master_list[Unit Cost],MATCH(Table4[[#This Row],[Product ID]],product_master_list[Product ID],0)),"")</f>
        <v>30</v>
      </c>
      <c r="L18" s="2">
        <f>Table4[[#This Row],[Current Stock]]*Table4[[#This Row],[Unit Cost]]</f>
        <v>1500</v>
      </c>
      <c r="M18" s="5" t="str">
        <f>INDEX(product_master_list[Supplier],MATCH(Table4[[#This Row],[Product ID]],product_master_list[Product ID],0))</f>
        <v>Visionette Stores</v>
      </c>
      <c r="N18" s="4">
        <f t="array" ref="N18">_xlfn.IFNA(INDEX(Table2[Date],MATCH(MAX(IF(Table2[Product ID]=Table4[[#This Row],[Product ID]],Table2[Date])),Table2[Date],0)),"")</f>
        <v>46035</v>
      </c>
      <c r="O18" s="4">
        <f t="array" ref="O18">_xlfn.IFNA(INDEX(Table3[Date],MATCH(MAX(IF(Table3[Product ID]=Table4[[#This Row],[Product ID]],Table3[Date])),Table3[Date],0)),"")</f>
        <v>46025</v>
      </c>
    </row>
    <row r="19" spans="2:19" x14ac:dyDescent="0.25">
      <c r="B19" t="s">
        <v>23</v>
      </c>
      <c r="C19" t="str">
        <f>_xlfn.IFNA(INDEX(product_master_list[Product Name],MATCH(Table4[[#This Row],[Product ID]],product_master_list[Product ID],0)),"")</f>
        <v>Slim Fit Denim Jeans</v>
      </c>
      <c r="D19" t="str">
        <f>_xlfn.IFNA(INDEX(product_master_list[Category],MATCH(Table4[[#This Row],[Product ID]],product_master_list[Product ID],0)),"")</f>
        <v>Bottoms</v>
      </c>
      <c r="E19">
        <f>_xlfn.IFNA(INDEX(product_master_list[Opening Stock],MATCH(Table4[[#This Row],[Product ID]],product_master_list[Product ID],0)),"")</f>
        <v>5</v>
      </c>
      <c r="F19">
        <f>SUMIFS(Table2[Quantity Received],Table2[Product ID],Table4[[#This Row],[Product ID]])</f>
        <v>21</v>
      </c>
      <c r="G19">
        <f>SUMIFS(Table3[Quantity],Table3[Product ID],Table4[[#This Row],[Product ID]])</f>
        <v>0</v>
      </c>
      <c r="H19">
        <f>Table4[[#This Row],[Opening Stock]]+(Table4[[#This Row],[Total Stock In]]-Table4[[#This Row],[Total Stock Out]])</f>
        <v>26</v>
      </c>
      <c r="I19">
        <f>_xlfn.IFNA(INDEX(product_master_list[Reorder Level],MATCH(Table4[[#This Row],[Product ID]],product_master_list[Product ID],0)),"")</f>
        <v>15</v>
      </c>
      <c r="J19" t="str">
        <f>IF(Table4[[#This Row],[Current Stock]]&lt;Table4[[#This Row],[Reorder Level]],"ORDER NOW",IF(Table4[[#This Row],[Current Stock]]=Table4[[#This Row],[Reorder Level]],"ALERT",IF(Table4[[#This Row],[Current Stock]]&gt;=Table4[[#This Row],[Reorder Level]],"OK")))</f>
        <v>OK</v>
      </c>
      <c r="K19" s="2">
        <f>_xlfn.IFNA(INDEX(product_master_list[Unit Cost],MATCH(Table4[[#This Row],[Product ID]],product_master_list[Product ID],0)),"")</f>
        <v>25</v>
      </c>
      <c r="L19" s="2">
        <f>Table4[[#This Row],[Current Stock]]*Table4[[#This Row],[Unit Cost]]</f>
        <v>650</v>
      </c>
      <c r="M19" s="5" t="str">
        <f>INDEX(product_master_list[Supplier],MATCH(Table4[[#This Row],[Product ID]],product_master_list[Product ID],0))</f>
        <v>Clothing Inc.</v>
      </c>
      <c r="N19" s="4">
        <f t="array" ref="N19">_xlfn.IFNA(INDEX(Table2[Date],MATCH(MAX(IF(Table2[Product ID]=Table4[[#This Row],[Product ID]],Table2[Date])),Table2[Date],0)),"")</f>
        <v>46030</v>
      </c>
      <c r="O19" s="4" t="str">
        <f t="array" ref="O19">_xlfn.IFNA(INDEX(Table3[Date],MATCH(MAX(IF(Table3[Product ID]=Table4[[#This Row],[Product ID]],Table3[Date])),Table3[Date],0)),"")</f>
        <v/>
      </c>
    </row>
    <row r="20" spans="2:19" x14ac:dyDescent="0.25">
      <c r="B20" t="s">
        <v>25</v>
      </c>
      <c r="C20" t="str">
        <f>_xlfn.IFNA(INDEX(product_master_list[Product Name],MATCH(Table4[[#This Row],[Product ID]],product_master_list[Product ID],0)),"")</f>
        <v>Casual Button-Down Shirt</v>
      </c>
      <c r="D20" t="str">
        <f>_xlfn.IFNA(INDEX(product_master_list[Category],MATCH(Table4[[#This Row],[Product ID]],product_master_list[Product ID],0)),"")</f>
        <v>Tops</v>
      </c>
      <c r="E20">
        <f>_xlfn.IFNA(INDEX(product_master_list[Opening Stock],MATCH(Table4[[#This Row],[Product ID]],product_master_list[Product ID],0)),"")</f>
        <v>5</v>
      </c>
      <c r="F20">
        <f>SUMIFS(Table2[Quantity Received],Table2[Product ID],Table4[[#This Row],[Product ID]])</f>
        <v>35</v>
      </c>
      <c r="G20">
        <f>SUMIFS(Table3[Quantity],Table3[Product ID],Table4[[#This Row],[Product ID]])</f>
        <v>4</v>
      </c>
      <c r="H20">
        <f>Table4[[#This Row],[Opening Stock]]+(Table4[[#This Row],[Total Stock In]]-Table4[[#This Row],[Total Stock Out]])</f>
        <v>36</v>
      </c>
      <c r="I20">
        <f>_xlfn.IFNA(INDEX(product_master_list[Reorder Level],MATCH(Table4[[#This Row],[Product ID]],product_master_list[Product ID],0)),"")</f>
        <v>20</v>
      </c>
      <c r="J20" t="str">
        <f>IF(Table4[[#This Row],[Current Stock]]&lt;Table4[[#This Row],[Reorder Level]],"ORDER NOW",IF(Table4[[#This Row],[Current Stock]]=Table4[[#This Row],[Reorder Level]],"ALERT",IF(Table4[[#This Row],[Current Stock]]&gt;=Table4[[#This Row],[Reorder Level]],"OK")))</f>
        <v>OK</v>
      </c>
      <c r="K20" s="2">
        <f>_xlfn.IFNA(INDEX(product_master_list[Unit Cost],MATCH(Table4[[#This Row],[Product ID]],product_master_list[Product ID],0)),"")</f>
        <v>30</v>
      </c>
      <c r="L20" s="2">
        <f>Table4[[#This Row],[Current Stock]]*Table4[[#This Row],[Unit Cost]]</f>
        <v>1080</v>
      </c>
      <c r="M20" s="5" t="str">
        <f>INDEX(product_master_list[Supplier],MATCH(Table4[[#This Row],[Product ID]],product_master_list[Product ID],0))</f>
        <v>Denim Home Ltd.</v>
      </c>
      <c r="N20" s="4">
        <f t="array" ref="N20">_xlfn.IFNA(INDEX(Table2[Date],MATCH(MAX(IF(Table2[Product ID]=Table4[[#This Row],[Product ID]],Table2[Date])),Table2[Date],0)),"")</f>
        <v>46044</v>
      </c>
      <c r="O20" s="4">
        <f t="array" ref="O20">_xlfn.IFNA(INDEX(Table3[Date],MATCH(MAX(IF(Table3[Product ID]=Table4[[#This Row],[Product ID]],Table3[Date])),Table3[Date],0)),"")</f>
        <v>46024</v>
      </c>
    </row>
    <row r="21" spans="2:19" x14ac:dyDescent="0.25">
      <c r="B21" t="s">
        <v>27</v>
      </c>
      <c r="C21" t="str">
        <f>_xlfn.IFNA(INDEX(product_master_list[Product Name],MATCH(Table4[[#This Row],[Product ID]],product_master_list[Product ID],0)),"")</f>
        <v>Summer Floral Dress</v>
      </c>
      <c r="D21" t="str">
        <f>_xlfn.IFNA(INDEX(product_master_list[Category],MATCH(Table4[[#This Row],[Product ID]],product_master_list[Product ID],0)),"")</f>
        <v>Dresses</v>
      </c>
      <c r="E21">
        <f>_xlfn.IFNA(INDEX(product_master_list[Opening Stock],MATCH(Table4[[#This Row],[Product ID]],product_master_list[Product ID],0)),"")</f>
        <v>5</v>
      </c>
      <c r="F21">
        <f>SUMIFS(Table2[Quantity Received],Table2[Product ID],Table4[[#This Row],[Product ID]])</f>
        <v>78</v>
      </c>
      <c r="G21">
        <f>SUMIFS(Table3[Quantity],Table3[Product ID],Table4[[#This Row],[Product ID]])</f>
        <v>3</v>
      </c>
      <c r="H21">
        <f>Table4[[#This Row],[Opening Stock]]+(Table4[[#This Row],[Total Stock In]]-Table4[[#This Row],[Total Stock Out]])</f>
        <v>80</v>
      </c>
      <c r="I21">
        <f>_xlfn.IFNA(INDEX(product_master_list[Reorder Level],MATCH(Table4[[#This Row],[Product ID]],product_master_list[Product ID],0)),"")</f>
        <v>7</v>
      </c>
      <c r="J21" t="str">
        <f>IF(Table4[[#This Row],[Current Stock]]&lt;Table4[[#This Row],[Reorder Level]],"ORDER NOW",IF(Table4[[#This Row],[Current Stock]]=Table4[[#This Row],[Reorder Level]],"ALERT",IF(Table4[[#This Row],[Current Stock]]&gt;=Table4[[#This Row],[Reorder Level]],"OK")))</f>
        <v>OK</v>
      </c>
      <c r="K21" s="2">
        <f>_xlfn.IFNA(INDEX(product_master_list[Unit Cost],MATCH(Table4[[#This Row],[Product ID]],product_master_list[Product ID],0)),"")</f>
        <v>15</v>
      </c>
      <c r="L21" s="2">
        <f>Table4[[#This Row],[Current Stock]]*Table4[[#This Row],[Unit Cost]]</f>
        <v>1200</v>
      </c>
      <c r="M21" s="5" t="str">
        <f>INDEX(product_master_list[Supplier],MATCH(Table4[[#This Row],[Product ID]],product_master_list[Product ID],0))</f>
        <v>Dress Haven</v>
      </c>
      <c r="N21" s="4">
        <f t="array" ref="N21">_xlfn.IFNA(INDEX(Table2[Date],MATCH(MAX(IF(Table2[Product ID]=Table4[[#This Row],[Product ID]],Table2[Date])),Table2[Date],0)),"")</f>
        <v>46047</v>
      </c>
      <c r="O21" s="4">
        <f t="array" ref="O21">_xlfn.IFNA(INDEX(Table3[Date],MATCH(MAX(IF(Table3[Product ID]=Table4[[#This Row],[Product ID]],Table3[Date])),Table3[Date],0)),"")</f>
        <v>46048</v>
      </c>
    </row>
    <row r="22" spans="2:19" x14ac:dyDescent="0.25">
      <c r="B22" t="s">
        <v>28</v>
      </c>
      <c r="C22" t="str">
        <f>_xlfn.IFNA(INDEX(product_master_list[Product Name],MATCH(Table4[[#This Row],[Product ID]],product_master_list[Product ID],0)),"")</f>
        <v>Bodycon Midi Dress</v>
      </c>
      <c r="D22" t="str">
        <f>_xlfn.IFNA(INDEX(product_master_list[Category],MATCH(Table4[[#This Row],[Product ID]],product_master_list[Product ID],0)),"")</f>
        <v>Dresses</v>
      </c>
      <c r="E22">
        <f>_xlfn.IFNA(INDEX(product_master_list[Opening Stock],MATCH(Table4[[#This Row],[Product ID]],product_master_list[Product ID],0)),"")</f>
        <v>5</v>
      </c>
      <c r="F22">
        <f>SUMIFS(Table2[Quantity Received],Table2[Product ID],Table4[[#This Row],[Product ID]])</f>
        <v>15</v>
      </c>
      <c r="G22">
        <f>SUMIFS(Table3[Quantity],Table3[Product ID],Table4[[#This Row],[Product ID]])</f>
        <v>7</v>
      </c>
      <c r="H22">
        <f>Table4[[#This Row],[Opening Stock]]+(Table4[[#This Row],[Total Stock In]]-Table4[[#This Row],[Total Stock Out]])</f>
        <v>13</v>
      </c>
      <c r="I22">
        <f>_xlfn.IFNA(INDEX(product_master_list[Reorder Level],MATCH(Table4[[#This Row],[Product ID]],product_master_list[Product ID],0)),"")</f>
        <v>7</v>
      </c>
      <c r="J22" t="str">
        <f>IF(Table4[[#This Row],[Current Stock]]&lt;Table4[[#This Row],[Reorder Level]],"ORDER NOW",IF(Table4[[#This Row],[Current Stock]]=Table4[[#This Row],[Reorder Level]],"ALERT",IF(Table4[[#This Row],[Current Stock]]&gt;=Table4[[#This Row],[Reorder Level]],"OK")))</f>
        <v>OK</v>
      </c>
      <c r="K22" s="2">
        <f>_xlfn.IFNA(INDEX(product_master_list[Unit Cost],MATCH(Table4[[#This Row],[Product ID]],product_master_list[Product ID],0)),"")</f>
        <v>22</v>
      </c>
      <c r="L22" s="2">
        <f>Table4[[#This Row],[Current Stock]]*Table4[[#This Row],[Unit Cost]]</f>
        <v>286</v>
      </c>
      <c r="M22" s="5" t="str">
        <f>INDEX(product_master_list[Supplier],MATCH(Table4[[#This Row],[Product ID]],product_master_list[Product ID],0))</f>
        <v>Dress Haven</v>
      </c>
      <c r="N22" s="4">
        <f t="array" ref="N22">_xlfn.IFNA(INDEX(Table2[Date],MATCH(MAX(IF(Table2[Product ID]=Table4[[#This Row],[Product ID]],Table2[Date])),Table2[Date],0)),"")</f>
        <v>46042</v>
      </c>
      <c r="O22" s="4">
        <f t="array" ref="O22">_xlfn.IFNA(INDEX(Table3[Date],MATCH(MAX(IF(Table3[Product ID]=Table4[[#This Row],[Product ID]],Table3[Date])),Table3[Date],0)),"")</f>
        <v>46048</v>
      </c>
    </row>
    <row r="23" spans="2:19" x14ac:dyDescent="0.25">
      <c r="B23" t="s">
        <v>29</v>
      </c>
      <c r="C23" t="str">
        <f>_xlfn.IFNA(INDEX(product_master_list[Product Name],MATCH(Table4[[#This Row],[Product ID]],product_master_list[Product ID],0)),"")</f>
        <v>Hooded Sweatshirt</v>
      </c>
      <c r="D23" t="str">
        <f>_xlfn.IFNA(INDEX(product_master_list[Category],MATCH(Table4[[#This Row],[Product ID]],product_master_list[Product ID],0)),"")</f>
        <v>Outerwear</v>
      </c>
      <c r="E23">
        <f>_xlfn.IFNA(INDEX(product_master_list[Opening Stock],MATCH(Table4[[#This Row],[Product ID]],product_master_list[Product ID],0)),"")</f>
        <v>5</v>
      </c>
      <c r="F23">
        <f>SUMIFS(Table2[Quantity Received],Table2[Product ID],Table4[[#This Row],[Product ID]])</f>
        <v>50</v>
      </c>
      <c r="G23">
        <f>SUMIFS(Table3[Quantity],Table3[Product ID],Table4[[#This Row],[Product ID]])</f>
        <v>4</v>
      </c>
      <c r="H23">
        <f>Table4[[#This Row],[Opening Stock]]+(Table4[[#This Row],[Total Stock In]]-Table4[[#This Row],[Total Stock Out]])</f>
        <v>51</v>
      </c>
      <c r="I23">
        <f>_xlfn.IFNA(INDEX(product_master_list[Reorder Level],MATCH(Table4[[#This Row],[Product ID]],product_master_list[Product ID],0)),"")</f>
        <v>15</v>
      </c>
      <c r="J23" t="str">
        <f>IF(Table4[[#This Row],[Current Stock]]&lt;Table4[[#This Row],[Reorder Level]],"ORDER NOW",IF(Table4[[#This Row],[Current Stock]]=Table4[[#This Row],[Reorder Level]],"ALERT",IF(Table4[[#This Row],[Current Stock]]&gt;=Table4[[#This Row],[Reorder Level]],"OK")))</f>
        <v>OK</v>
      </c>
      <c r="K23" s="2">
        <f>_xlfn.IFNA(INDEX(product_master_list[Unit Cost],MATCH(Table4[[#This Row],[Product ID]],product_master_list[Product ID],0)),"")</f>
        <v>40</v>
      </c>
      <c r="L23" s="2">
        <f>Table4[[#This Row],[Current Stock]]*Table4[[#This Row],[Unit Cost]]</f>
        <v>2040</v>
      </c>
      <c r="M23" s="5" t="str">
        <f>INDEX(product_master_list[Supplier],MATCH(Table4[[#This Row],[Product ID]],product_master_list[Product ID],0))</f>
        <v>Denim Home Ltd.</v>
      </c>
      <c r="N23" s="4">
        <f t="array" ref="N23">_xlfn.IFNA(INDEX(Table2[Date],MATCH(MAX(IF(Table2[Product ID]=Table4[[#This Row],[Product ID]],Table2[Date])),Table2[Date],0)),"")</f>
        <v>46029</v>
      </c>
      <c r="O23" s="4">
        <f t="array" ref="O23">_xlfn.IFNA(INDEX(Table3[Date],MATCH(MAX(IF(Table3[Product ID]=Table4[[#This Row],[Product ID]],Table3[Date])),Table3[Date],0)),"")</f>
        <v>46041</v>
      </c>
    </row>
    <row r="24" spans="2:19" x14ac:dyDescent="0.25">
      <c r="B24" t="s">
        <v>33</v>
      </c>
      <c r="C24" t="str">
        <f>_xlfn.IFNA(INDEX(product_master_list[Product Name],MATCH(Table4[[#This Row],[Product ID]],product_master_list[Product ID],0)),"")</f>
        <v>Fashion Wrist Watch</v>
      </c>
      <c r="D24" t="str">
        <f>_xlfn.IFNA(INDEX(product_master_list[Category],MATCH(Table4[[#This Row],[Product ID]],product_master_list[Product ID],0)),"")</f>
        <v>Accessories</v>
      </c>
      <c r="E24">
        <f>_xlfn.IFNA(INDEX(product_master_list[Opening Stock],MATCH(Table4[[#This Row],[Product ID]],product_master_list[Product ID],0)),"")</f>
        <v>5</v>
      </c>
      <c r="F24">
        <f>SUMIFS(Table2[Quantity Received],Table2[Product ID],Table4[[#This Row],[Product ID]])</f>
        <v>80</v>
      </c>
      <c r="G24">
        <f>SUMIFS(Table3[Quantity],Table3[Product ID],Table4[[#This Row],[Product ID]])</f>
        <v>0</v>
      </c>
      <c r="H24">
        <f>Table4[[#This Row],[Opening Stock]]+(Table4[[#This Row],[Total Stock In]]-Table4[[#This Row],[Total Stock Out]])</f>
        <v>85</v>
      </c>
      <c r="I24">
        <f>_xlfn.IFNA(INDEX(product_master_list[Reorder Level],MATCH(Table4[[#This Row],[Product ID]],product_master_list[Product ID],0)),"")</f>
        <v>9</v>
      </c>
      <c r="J24" t="str">
        <f>IF(Table4[[#This Row],[Current Stock]]&lt;Table4[[#This Row],[Reorder Level]],"ORDER NOW",IF(Table4[[#This Row],[Current Stock]]=Table4[[#This Row],[Reorder Level]],"ALERT",IF(Table4[[#This Row],[Current Stock]]&gt;=Table4[[#This Row],[Reorder Level]],"OK")))</f>
        <v>OK</v>
      </c>
      <c r="K24" s="2">
        <f>_xlfn.IFNA(INDEX(product_master_list[Unit Cost],MATCH(Table4[[#This Row],[Product ID]],product_master_list[Product ID],0)),"")</f>
        <v>60</v>
      </c>
      <c r="L24" s="2">
        <f>Table4[[#This Row],[Current Stock]]*Table4[[#This Row],[Unit Cost]]</f>
        <v>5100</v>
      </c>
      <c r="M24" s="5" t="str">
        <f>INDEX(product_master_list[Supplier],MATCH(Table4[[#This Row],[Product ID]],product_master_list[Product ID],0))</f>
        <v>Chic und More</v>
      </c>
      <c r="N24" s="4">
        <f t="array" ref="N24">_xlfn.IFNA(INDEX(Table2[Date],MATCH(MAX(IF(Table2[Product ID]=Table4[[#This Row],[Product ID]],Table2[Date])),Table2[Date],0)),"")</f>
        <v>46036</v>
      </c>
      <c r="O24" s="4" t="str">
        <f t="array" ref="O24">_xlfn.IFNA(INDEX(Table3[Date],MATCH(MAX(IF(Table3[Product ID]=Table4[[#This Row],[Product ID]],Table3[Date])),Table3[Date],0)),"")</f>
        <v/>
      </c>
    </row>
    <row r="25" spans="2:19" x14ac:dyDescent="0.25">
      <c r="B25" t="s">
        <v>37</v>
      </c>
      <c r="C25" t="str">
        <f>_xlfn.IFNA(INDEX(product_master_list[Product Name],MATCH(Table4[[#This Row],[Product ID]],product_master_list[Product ID],0)),"")</f>
        <v>Casual Sneakers</v>
      </c>
      <c r="D25" t="str">
        <f>_xlfn.IFNA(INDEX(product_master_list[Category],MATCH(Table4[[#This Row],[Product ID]],product_master_list[Product ID],0)),"")</f>
        <v>Footwear</v>
      </c>
      <c r="E25">
        <f>_xlfn.IFNA(INDEX(product_master_list[Opening Stock],MATCH(Table4[[#This Row],[Product ID]],product_master_list[Product ID],0)),"")</f>
        <v>5</v>
      </c>
      <c r="F25">
        <f>SUMIFS(Table2[Quantity Received],Table2[Product ID],Table4[[#This Row],[Product ID]])</f>
        <v>34</v>
      </c>
      <c r="G25">
        <f>SUMIFS(Table3[Quantity],Table3[Product ID],Table4[[#This Row],[Product ID]])</f>
        <v>0</v>
      </c>
      <c r="H25">
        <f>Table4[[#This Row],[Opening Stock]]+(Table4[[#This Row],[Total Stock In]]-Table4[[#This Row],[Total Stock Out]])</f>
        <v>39</v>
      </c>
      <c r="I25">
        <f>_xlfn.IFNA(INDEX(product_master_list[Reorder Level],MATCH(Table4[[#This Row],[Product ID]],product_master_list[Product ID],0)),"")</f>
        <v>6</v>
      </c>
      <c r="J25" t="str">
        <f>IF(Table4[[#This Row],[Current Stock]]&lt;Table4[[#This Row],[Reorder Level]],"ORDER NOW",IF(Table4[[#This Row],[Current Stock]]=Table4[[#This Row],[Reorder Level]],"ALERT",IF(Table4[[#This Row],[Current Stock]]&gt;=Table4[[#This Row],[Reorder Level]],"OK")))</f>
        <v>OK</v>
      </c>
      <c r="K25" s="2">
        <f>_xlfn.IFNA(INDEX(product_master_list[Unit Cost],MATCH(Table4[[#This Row],[Product ID]],product_master_list[Product ID],0)),"")</f>
        <v>150</v>
      </c>
      <c r="L25" s="2">
        <f>Table4[[#This Row],[Current Stock]]*Table4[[#This Row],[Unit Cost]]</f>
        <v>5850</v>
      </c>
      <c r="M25" s="5" t="str">
        <f>INDEX(product_master_list[Supplier],MATCH(Table4[[#This Row],[Product ID]],product_master_list[Product ID],0))</f>
        <v>Happy Steps Ltd.</v>
      </c>
      <c r="N25" s="4">
        <f t="array" ref="N25">_xlfn.IFNA(INDEX(Table2[Date],MATCH(MAX(IF(Table2[Product ID]=Table4[[#This Row],[Product ID]],Table2[Date])),Table2[Date],0)),"")</f>
        <v>46044</v>
      </c>
      <c r="O25" s="4" t="str">
        <f t="array" ref="O25">_xlfn.IFNA(INDEX(Table3[Date],MATCH(MAX(IF(Table3[Product ID]=Table4[[#This Row],[Product ID]],Table3[Date])),Table3[Date],0)),"")</f>
        <v/>
      </c>
    </row>
    <row r="26" spans="2:19" x14ac:dyDescent="0.25">
      <c r="B26" t="s">
        <v>38</v>
      </c>
      <c r="C26" t="str">
        <f>_xlfn.IFNA(INDEX(product_master_list[Product Name],MATCH(Table4[[#This Row],[Product ID]],product_master_list[Product ID],0)),"")</f>
        <v>Slip-On Loafers</v>
      </c>
      <c r="D26" t="str">
        <f>_xlfn.IFNA(INDEX(product_master_list[Category],MATCH(Table4[[#This Row],[Product ID]],product_master_list[Product ID],0)),"")</f>
        <v>Footwear</v>
      </c>
      <c r="E26">
        <f>_xlfn.IFNA(INDEX(product_master_list[Opening Stock],MATCH(Table4[[#This Row],[Product ID]],product_master_list[Product ID],0)),"")</f>
        <v>5</v>
      </c>
      <c r="F26">
        <f>SUMIFS(Table2[Quantity Received],Table2[Product ID],Table4[[#This Row],[Product ID]])</f>
        <v>40</v>
      </c>
      <c r="G26">
        <f>SUMIFS(Table3[Quantity],Table3[Product ID],Table4[[#This Row],[Product ID]])</f>
        <v>7</v>
      </c>
      <c r="H26">
        <f>Table4[[#This Row],[Opening Stock]]+(Table4[[#This Row],[Total Stock In]]-Table4[[#This Row],[Total Stock Out]])</f>
        <v>38</v>
      </c>
      <c r="I26">
        <f>_xlfn.IFNA(INDEX(product_master_list[Reorder Level],MATCH(Table4[[#This Row],[Product ID]],product_master_list[Product ID],0)),"")</f>
        <v>6</v>
      </c>
      <c r="J26" t="str">
        <f>IF(Table4[[#This Row],[Current Stock]]&lt;Table4[[#This Row],[Reorder Level]],"ORDER NOW",IF(Table4[[#This Row],[Current Stock]]=Table4[[#This Row],[Reorder Level]],"ALERT",IF(Table4[[#This Row],[Current Stock]]&gt;=Table4[[#This Row],[Reorder Level]],"OK")))</f>
        <v>OK</v>
      </c>
      <c r="K26" s="2">
        <f>_xlfn.IFNA(INDEX(product_master_list[Unit Cost],MATCH(Table4[[#This Row],[Product ID]],product_master_list[Product ID],0)),"")</f>
        <v>100</v>
      </c>
      <c r="L26" s="2">
        <f>Table4[[#This Row],[Current Stock]]*Table4[[#This Row],[Unit Cost]]</f>
        <v>3800</v>
      </c>
      <c r="M26" s="5" t="str">
        <f>INDEX(product_master_list[Supplier],MATCH(Table4[[#This Row],[Product ID]],product_master_list[Product ID],0))</f>
        <v>Happy Steps Ltd.</v>
      </c>
      <c r="N26" s="4">
        <f t="array" ref="N26">_xlfn.IFNA(INDEX(Table2[Date],MATCH(MAX(IF(Table2[Product ID]=Table4[[#This Row],[Product ID]],Table2[Date])),Table2[Date],0)),"")</f>
        <v>46031</v>
      </c>
      <c r="O26" s="4">
        <f t="array" ref="O26">_xlfn.IFNA(INDEX(Table3[Date],MATCH(MAX(IF(Table3[Product ID]=Table4[[#This Row],[Product ID]],Table3[Date])),Table3[Date],0)),"")</f>
        <v>46037</v>
      </c>
    </row>
  </sheetData>
  <sheetProtection sheet="1" objects="1" scenarios="1"/>
  <phoneticPr fontId="2" type="noConversion"/>
  <conditionalFormatting sqref="J1:J1048576">
    <cfRule type="containsText" dxfId="2" priority="1" operator="containsText" text="OK">
      <formula>NOT(ISERROR(SEARCH("OK",J1)))</formula>
    </cfRule>
    <cfRule type="containsText" dxfId="1" priority="2" operator="containsText" text="ALERT">
      <formula>NOT(ISERROR(SEARCH("ALERT",J1)))</formula>
    </cfRule>
    <cfRule type="containsText" dxfId="0" priority="3" operator="containsText" text="ORDER NOW">
      <formula>NOT(ISERROR(SEARCH("ORDER NOW",J1)))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759B-E58E-4B32-916E-278D905F3A26}">
  <dimension ref="B1:D34"/>
  <sheetViews>
    <sheetView tabSelected="1" zoomScale="84" zoomScaleNormal="84" workbookViewId="0">
      <selection activeCell="M19" sqref="M19"/>
    </sheetView>
  </sheetViews>
  <sheetFormatPr defaultRowHeight="15" x14ac:dyDescent="0.25"/>
  <cols>
    <col min="1" max="1" width="13" customWidth="1"/>
    <col min="2" max="2" width="30" bestFit="1" customWidth="1"/>
    <col min="3" max="3" width="19.7109375" bestFit="1" customWidth="1"/>
    <col min="4" max="5" width="18.140625" bestFit="1" customWidth="1"/>
  </cols>
  <sheetData>
    <row r="1" spans="2:4" x14ac:dyDescent="0.25">
      <c r="B1" s="8" t="s">
        <v>19</v>
      </c>
      <c r="C1" t="s">
        <v>144</v>
      </c>
    </row>
    <row r="3" spans="2:4" x14ac:dyDescent="0.25">
      <c r="B3" s="8" t="s">
        <v>130</v>
      </c>
      <c r="C3" t="s">
        <v>132</v>
      </c>
      <c r="D3" t="s">
        <v>133</v>
      </c>
    </row>
    <row r="4" spans="2:4" x14ac:dyDescent="0.25">
      <c r="B4" s="9" t="s">
        <v>71</v>
      </c>
      <c r="D4" s="3"/>
    </row>
    <row r="5" spans="2:4" x14ac:dyDescent="0.25">
      <c r="B5" s="10" t="s">
        <v>58</v>
      </c>
      <c r="C5">
        <v>8</v>
      </c>
      <c r="D5" s="3">
        <v>280</v>
      </c>
    </row>
    <row r="6" spans="2:4" x14ac:dyDescent="0.25">
      <c r="B6" s="10" t="s">
        <v>55</v>
      </c>
      <c r="C6">
        <v>5</v>
      </c>
      <c r="D6" s="3">
        <v>60</v>
      </c>
    </row>
    <row r="7" spans="2:4" x14ac:dyDescent="0.25">
      <c r="B7" s="10" t="s">
        <v>54</v>
      </c>
      <c r="C7">
        <v>5</v>
      </c>
      <c r="D7" s="3">
        <v>60</v>
      </c>
    </row>
    <row r="8" spans="2:4" x14ac:dyDescent="0.25">
      <c r="B8" s="10" t="s">
        <v>64</v>
      </c>
      <c r="C8">
        <v>5</v>
      </c>
      <c r="D8" s="3">
        <v>199.95000000000002</v>
      </c>
    </row>
    <row r="9" spans="2:4" x14ac:dyDescent="0.25">
      <c r="B9" s="10" t="s">
        <v>65</v>
      </c>
      <c r="C9">
        <v>51</v>
      </c>
      <c r="D9" s="3">
        <v>1020</v>
      </c>
    </row>
    <row r="10" spans="2:4" x14ac:dyDescent="0.25">
      <c r="B10" s="9" t="s">
        <v>134</v>
      </c>
      <c r="C10">
        <v>74</v>
      </c>
      <c r="D10" s="3">
        <v>1619.95</v>
      </c>
    </row>
    <row r="11" spans="2:4" x14ac:dyDescent="0.25">
      <c r="B11" s="9"/>
      <c r="D11" s="3"/>
    </row>
    <row r="12" spans="2:4" x14ac:dyDescent="0.25">
      <c r="B12" s="9" t="s">
        <v>72</v>
      </c>
      <c r="D12" s="3"/>
    </row>
    <row r="13" spans="2:4" x14ac:dyDescent="0.25">
      <c r="B13" s="10" t="s">
        <v>59</v>
      </c>
      <c r="C13">
        <v>3</v>
      </c>
      <c r="D13" s="3">
        <v>84</v>
      </c>
    </row>
    <row r="14" spans="2:4" x14ac:dyDescent="0.25">
      <c r="B14" s="9" t="s">
        <v>135</v>
      </c>
      <c r="C14">
        <v>3</v>
      </c>
      <c r="D14" s="3">
        <v>84</v>
      </c>
    </row>
    <row r="15" spans="2:4" x14ac:dyDescent="0.25">
      <c r="B15" s="9"/>
      <c r="D15" s="3"/>
    </row>
    <row r="16" spans="2:4" x14ac:dyDescent="0.25">
      <c r="B16" s="9" t="s">
        <v>68</v>
      </c>
      <c r="D16" s="3"/>
    </row>
    <row r="17" spans="2:4" x14ac:dyDescent="0.25">
      <c r="B17" s="10" t="s">
        <v>47</v>
      </c>
      <c r="C17">
        <v>5</v>
      </c>
      <c r="D17" s="3">
        <v>200</v>
      </c>
    </row>
    <row r="18" spans="2:4" x14ac:dyDescent="0.25">
      <c r="B18" s="9" t="s">
        <v>136</v>
      </c>
      <c r="C18">
        <v>5</v>
      </c>
      <c r="D18" s="3">
        <v>200</v>
      </c>
    </row>
    <row r="19" spans="2:4" x14ac:dyDescent="0.25">
      <c r="B19" s="9"/>
      <c r="D19" s="3"/>
    </row>
    <row r="20" spans="2:4" x14ac:dyDescent="0.25">
      <c r="B20" s="9" t="s">
        <v>73</v>
      </c>
      <c r="D20" s="3"/>
    </row>
    <row r="21" spans="2:4" x14ac:dyDescent="0.25">
      <c r="B21" s="10" t="s">
        <v>63</v>
      </c>
      <c r="C21">
        <v>2</v>
      </c>
      <c r="D21" s="3">
        <v>312</v>
      </c>
    </row>
    <row r="22" spans="2:4" x14ac:dyDescent="0.25">
      <c r="B22" s="10" t="s">
        <v>62</v>
      </c>
      <c r="C22">
        <v>5</v>
      </c>
      <c r="D22" s="3">
        <v>700</v>
      </c>
    </row>
    <row r="23" spans="2:4" x14ac:dyDescent="0.25">
      <c r="B23" s="9" t="s">
        <v>137</v>
      </c>
      <c r="C23">
        <v>7</v>
      </c>
      <c r="D23" s="3">
        <v>1012</v>
      </c>
    </row>
    <row r="24" spans="2:4" x14ac:dyDescent="0.25">
      <c r="B24" s="9"/>
      <c r="D24" s="3"/>
    </row>
    <row r="25" spans="2:4" x14ac:dyDescent="0.25">
      <c r="B25" s="9" t="s">
        <v>70</v>
      </c>
      <c r="D25" s="3"/>
    </row>
    <row r="26" spans="2:4" x14ac:dyDescent="0.25">
      <c r="B26" s="10" t="s">
        <v>53</v>
      </c>
      <c r="C26">
        <v>5</v>
      </c>
      <c r="D26" s="3">
        <v>225</v>
      </c>
    </row>
    <row r="27" spans="2:4" x14ac:dyDescent="0.25">
      <c r="B27" s="9" t="s">
        <v>138</v>
      </c>
      <c r="C27">
        <v>5</v>
      </c>
      <c r="D27" s="3">
        <v>225</v>
      </c>
    </row>
    <row r="28" spans="2:4" x14ac:dyDescent="0.25">
      <c r="B28" s="9"/>
      <c r="D28" s="3"/>
    </row>
    <row r="29" spans="2:4" x14ac:dyDescent="0.25">
      <c r="B29" s="9" t="s">
        <v>67</v>
      </c>
      <c r="D29" s="3"/>
    </row>
    <row r="30" spans="2:4" x14ac:dyDescent="0.25">
      <c r="B30" s="10" t="s">
        <v>44</v>
      </c>
      <c r="C30">
        <v>47</v>
      </c>
      <c r="D30" s="3">
        <v>470</v>
      </c>
    </row>
    <row r="31" spans="2:4" x14ac:dyDescent="0.25">
      <c r="B31" s="10" t="s">
        <v>49</v>
      </c>
      <c r="C31">
        <v>11</v>
      </c>
      <c r="D31" s="3">
        <v>110</v>
      </c>
    </row>
    <row r="32" spans="2:4" x14ac:dyDescent="0.25">
      <c r="B32" s="9" t="s">
        <v>139</v>
      </c>
      <c r="C32">
        <v>58</v>
      </c>
      <c r="D32" s="3">
        <v>580</v>
      </c>
    </row>
    <row r="33" spans="2:4" x14ac:dyDescent="0.25">
      <c r="B33" s="9"/>
      <c r="D33" s="3"/>
    </row>
    <row r="34" spans="2:4" x14ac:dyDescent="0.25">
      <c r="B34" s="9" t="s">
        <v>131</v>
      </c>
      <c r="C34">
        <v>152</v>
      </c>
      <c r="D34" s="3">
        <v>3720.95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Product Master List</vt:lpstr>
      <vt:lpstr>Stock In </vt:lpstr>
      <vt:lpstr>Stock Out</vt:lpstr>
      <vt:lpstr>Inventory</vt:lpstr>
      <vt:lpstr>Order Report</vt:lpstr>
      <vt:lpstr>ProductID</vt:lpstr>
      <vt:lpstr>ProductList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Nduagu Favour</dc:creator>
  <cp:lastModifiedBy>Nduagu Favour</cp:lastModifiedBy>
  <dcterms:created xsi:type="dcterms:W3CDTF">2026-01-26T13:06:47Z</dcterms:created>
  <dcterms:modified xsi:type="dcterms:W3CDTF">2026-02-01T18:58:25Z</dcterms:modified>
</cp:coreProperties>
</file>